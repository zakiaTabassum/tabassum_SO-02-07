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 tabRatio="863" firstSheet="1" activeTab="9"/>
  </bookViews>
  <sheets>
    <sheet name="CGPA Tabulation Sheet" sheetId="4" r:id="rId1"/>
    <sheet name="StudentList" sheetId="1" r:id="rId2"/>
    <sheet name="CourseList" sheetId="2" r:id="rId3"/>
    <sheet name="CourseTeacher" sheetId="5" r:id="rId4"/>
    <sheet name="1st Semester" sheetId="3" r:id="rId5"/>
    <sheet name="2nd Semester" sheetId="6" r:id="rId6"/>
    <sheet name="3rd Semester" sheetId="7" r:id="rId7"/>
    <sheet name="Tabulation 1" sheetId="8" r:id="rId8"/>
    <sheet name="Tabulation 2" sheetId="9" r:id="rId9"/>
    <sheet name="Tabulation 3" sheetId="10" r:id="rId10"/>
  </sheets>
  <definedNames>
    <definedName name="_xlnm.Print_Area" localSheetId="3">CourseTeacher!$A:$E</definedName>
    <definedName name="_xlnm.Print_Area" localSheetId="1">StudentList!$A:$E</definedName>
    <definedName name="temp" localSheetId="2">CourseList!$B$1:$E$14</definedName>
    <definedName name="temp" localSheetId="3">CourseTeacher!#REF!</definedName>
    <definedName name="temp_1" localSheetId="2">CourseList!#REF!</definedName>
    <definedName name="temp_1" localSheetId="3">CourseTeacher!$B$1:$E$13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0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J4"/>
  <c r="I4"/>
  <c r="H4"/>
  <c r="G4"/>
  <c r="F4"/>
  <c r="E4"/>
  <c r="D4"/>
  <c r="C4"/>
  <c r="I2"/>
  <c r="G2"/>
  <c r="E2"/>
  <c r="C2"/>
  <c r="I1"/>
  <c r="G1"/>
  <c r="E1"/>
  <c r="C1"/>
  <c r="J5" i="9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4"/>
  <c r="C33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4"/>
  <c r="I2"/>
  <c r="G2"/>
  <c r="E2"/>
  <c r="C2"/>
  <c r="I1"/>
  <c r="G1"/>
  <c r="E1"/>
  <c r="C1"/>
  <c r="B3" i="10" a="1"/>
  <c r="B3" s="1"/>
  <c r="B3" i="9" a="1"/>
  <c r="B3" s="1"/>
  <c r="I2" i="8"/>
  <c r="G2"/>
  <c r="E2"/>
  <c r="C2"/>
  <c r="C1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J4"/>
  <c r="I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4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I1"/>
  <c r="G1"/>
  <c r="E1"/>
  <c r="B3" a="1"/>
  <c r="B3" s="1"/>
  <c r="B2" i="5"/>
  <c r="B3"/>
  <c r="B4"/>
  <c r="B5"/>
  <c r="B6"/>
  <c r="B7"/>
  <c r="B8"/>
  <c r="B9"/>
  <c r="B10"/>
  <c r="B11"/>
  <c r="B12"/>
  <c r="B13"/>
  <c r="B1"/>
  <c r="AJ3" i="6"/>
  <c r="I8" i="4" a="1"/>
  <c r="I8" s="1"/>
  <c r="F8" a="1"/>
  <c r="F8" s="1"/>
  <c r="G8" a="1"/>
  <c r="G8" s="1"/>
  <c r="H8" s="1"/>
  <c r="J8" a="1"/>
  <c r="J8" s="1"/>
  <c r="K8" s="1"/>
  <c r="B2" i="3" a="1"/>
  <c r="B2" s="1"/>
  <c r="C1"/>
  <c r="K1"/>
  <c r="S1"/>
  <c r="AA1"/>
  <c r="B7" i="4" a="1"/>
  <c r="B7" s="1"/>
  <c r="AJ3" i="7"/>
  <c r="AA1"/>
  <c r="S1"/>
  <c r="K1"/>
  <c r="C1"/>
  <c r="AD29"/>
  <c r="AD25"/>
  <c r="AD21"/>
  <c r="AD18"/>
  <c r="AD17"/>
  <c r="AD10"/>
  <c r="AD9"/>
  <c r="V29"/>
  <c r="V25"/>
  <c r="V21"/>
  <c r="V17"/>
  <c r="V14"/>
  <c r="V10"/>
  <c r="V9"/>
  <c r="V6"/>
  <c r="N30"/>
  <c r="N29"/>
  <c r="Q29" s="1"/>
  <c r="N25"/>
  <c r="Q25" s="1"/>
  <c r="N22"/>
  <c r="N18"/>
  <c r="N14"/>
  <c r="N10"/>
  <c r="N6"/>
  <c r="N5"/>
  <c r="F5"/>
  <c r="AI32"/>
  <c r="AD32"/>
  <c r="V32"/>
  <c r="Y32" s="1"/>
  <c r="N32"/>
  <c r="P32" s="1"/>
  <c r="F32"/>
  <c r="I32" s="1"/>
  <c r="AI31"/>
  <c r="AD31"/>
  <c r="AG31" s="1"/>
  <c r="V31"/>
  <c r="X31" s="1"/>
  <c r="N31"/>
  <c r="P31" s="1"/>
  <c r="F31"/>
  <c r="AI30"/>
  <c r="AD30"/>
  <c r="AF30" s="1"/>
  <c r="V30"/>
  <c r="Y30" s="1"/>
  <c r="F30"/>
  <c r="I30" s="1"/>
  <c r="AI29"/>
  <c r="F29"/>
  <c r="H29" s="1"/>
  <c r="AI28"/>
  <c r="AD28"/>
  <c r="V28"/>
  <c r="Y28" s="1"/>
  <c r="N28"/>
  <c r="P28" s="1"/>
  <c r="F28"/>
  <c r="I28" s="1"/>
  <c r="AI27"/>
  <c r="AD27"/>
  <c r="AG27" s="1"/>
  <c r="V27"/>
  <c r="X27" s="1"/>
  <c r="N27"/>
  <c r="Q27" s="1"/>
  <c r="F27"/>
  <c r="AI26"/>
  <c r="AD26"/>
  <c r="AF26" s="1"/>
  <c r="V26"/>
  <c r="Y26" s="1"/>
  <c r="N26"/>
  <c r="F26"/>
  <c r="I26" s="1"/>
  <c r="AI25"/>
  <c r="F25"/>
  <c r="H25" s="1"/>
  <c r="AI24"/>
  <c r="AD24"/>
  <c r="V24"/>
  <c r="Y24" s="1"/>
  <c r="N24"/>
  <c r="Q24" s="1"/>
  <c r="I24"/>
  <c r="H24"/>
  <c r="F24"/>
  <c r="AI23"/>
  <c r="AD23"/>
  <c r="AG23" s="1"/>
  <c r="V23"/>
  <c r="Y23" s="1"/>
  <c r="N23"/>
  <c r="Q23" s="1"/>
  <c r="F23"/>
  <c r="AI22"/>
  <c r="AD22"/>
  <c r="AG22" s="1"/>
  <c r="V22"/>
  <c r="Y22" s="1"/>
  <c r="F22"/>
  <c r="I22" s="1"/>
  <c r="AI21"/>
  <c r="N21"/>
  <c r="Q21" s="1"/>
  <c r="F21"/>
  <c r="I21" s="1"/>
  <c r="AI20"/>
  <c r="AD20"/>
  <c r="V20"/>
  <c r="Y20" s="1"/>
  <c r="N20"/>
  <c r="Q20" s="1"/>
  <c r="F20"/>
  <c r="H20" s="1"/>
  <c r="AI19"/>
  <c r="AD19"/>
  <c r="AG19" s="1"/>
  <c r="V19"/>
  <c r="X19" s="1"/>
  <c r="N19"/>
  <c r="P19" s="1"/>
  <c r="F19"/>
  <c r="AI18"/>
  <c r="V18"/>
  <c r="Y18" s="1"/>
  <c r="F18"/>
  <c r="I18" s="1"/>
  <c r="AI17"/>
  <c r="N17"/>
  <c r="Q17" s="1"/>
  <c r="F17"/>
  <c r="I17" s="1"/>
  <c r="AI16"/>
  <c r="AD16"/>
  <c r="V16"/>
  <c r="Y16" s="1"/>
  <c r="N16"/>
  <c r="Q16" s="1"/>
  <c r="F16"/>
  <c r="I16" s="1"/>
  <c r="AI15"/>
  <c r="AD15"/>
  <c r="AG15" s="1"/>
  <c r="V15"/>
  <c r="X15" s="1"/>
  <c r="N15"/>
  <c r="Q15" s="1"/>
  <c r="F15"/>
  <c r="AI14"/>
  <c r="AD14"/>
  <c r="AG14" s="1"/>
  <c r="F14"/>
  <c r="I14" s="1"/>
  <c r="AI13"/>
  <c r="AD13"/>
  <c r="AF13" s="1"/>
  <c r="V13"/>
  <c r="N13"/>
  <c r="Q13" s="1"/>
  <c r="F13"/>
  <c r="I13" s="1"/>
  <c r="AI12"/>
  <c r="AD12"/>
  <c r="V12"/>
  <c r="Y12" s="1"/>
  <c r="N12"/>
  <c r="Q12" s="1"/>
  <c r="F12"/>
  <c r="H12" s="1"/>
  <c r="AI11"/>
  <c r="AD11"/>
  <c r="AG11" s="1"/>
  <c r="V11"/>
  <c r="Y11" s="1"/>
  <c r="N11"/>
  <c r="P11" s="1"/>
  <c r="F11"/>
  <c r="AI10"/>
  <c r="F10"/>
  <c r="I10" s="1"/>
  <c r="AI9"/>
  <c r="N9"/>
  <c r="Q9" s="1"/>
  <c r="F9"/>
  <c r="I9" s="1"/>
  <c r="AI8"/>
  <c r="AD8"/>
  <c r="V8"/>
  <c r="Y8" s="1"/>
  <c r="N8"/>
  <c r="Q8" s="1"/>
  <c r="I8"/>
  <c r="F8"/>
  <c r="H8" s="1"/>
  <c r="AI7"/>
  <c r="AD7"/>
  <c r="AG7" s="1"/>
  <c r="V7"/>
  <c r="Y7" s="1"/>
  <c r="N7"/>
  <c r="P7" s="1"/>
  <c r="F7"/>
  <c r="AI6"/>
  <c r="AD6"/>
  <c r="AG6" s="1"/>
  <c r="F6"/>
  <c r="AI5"/>
  <c r="AD5"/>
  <c r="AG5" s="1"/>
  <c r="V5"/>
  <c r="Y5" s="1"/>
  <c r="AI4"/>
  <c r="AD4"/>
  <c r="AG4" s="1"/>
  <c r="V4"/>
  <c r="N4"/>
  <c r="P4" s="1"/>
  <c r="F4"/>
  <c r="I4" s="1"/>
  <c r="AI3"/>
  <c r="AD3"/>
  <c r="V3"/>
  <c r="Y3" s="1"/>
  <c r="N3"/>
  <c r="P3" s="1"/>
  <c r="F3"/>
  <c r="I3" s="1"/>
  <c r="B2" a="1"/>
  <c r="B2" s="1"/>
  <c r="AI4" i="6"/>
  <c r="V30"/>
  <c r="V29"/>
  <c r="V26"/>
  <c r="V25"/>
  <c r="V22"/>
  <c r="V21"/>
  <c r="V18"/>
  <c r="V17"/>
  <c r="V14"/>
  <c r="V13"/>
  <c r="V9"/>
  <c r="V6"/>
  <c r="V5"/>
  <c r="N26"/>
  <c r="N25"/>
  <c r="N18"/>
  <c r="N17"/>
  <c r="N10"/>
  <c r="N9"/>
  <c r="N5"/>
  <c r="F30"/>
  <c r="F26"/>
  <c r="F22"/>
  <c r="F18"/>
  <c r="F14"/>
  <c r="F10"/>
  <c r="F6"/>
  <c r="AA1"/>
  <c r="S1"/>
  <c r="K1"/>
  <c r="C1"/>
  <c r="AI32"/>
  <c r="AG32"/>
  <c r="AF32"/>
  <c r="AD32"/>
  <c r="V32"/>
  <c r="Y32" s="1"/>
  <c r="N32"/>
  <c r="Q32" s="1"/>
  <c r="F32"/>
  <c r="H32" s="1"/>
  <c r="AI31"/>
  <c r="AF31"/>
  <c r="AD31"/>
  <c r="AG31" s="1"/>
  <c r="V31"/>
  <c r="Y31" s="1"/>
  <c r="N31"/>
  <c r="P31" s="1"/>
  <c r="F31"/>
  <c r="I31" s="1"/>
  <c r="AI30"/>
  <c r="AD30"/>
  <c r="AG30" s="1"/>
  <c r="N30"/>
  <c r="Q30" s="1"/>
  <c r="AI29"/>
  <c r="AG29"/>
  <c r="AF29"/>
  <c r="AD29"/>
  <c r="N29"/>
  <c r="Q29" s="1"/>
  <c r="F29"/>
  <c r="I29" s="1"/>
  <c r="AI28"/>
  <c r="AG28"/>
  <c r="AF28"/>
  <c r="AD28"/>
  <c r="X28"/>
  <c r="V28"/>
  <c r="Y28" s="1"/>
  <c r="N28"/>
  <c r="Q28" s="1"/>
  <c r="F28"/>
  <c r="H28" s="1"/>
  <c r="AI27"/>
  <c r="AF27"/>
  <c r="AD27"/>
  <c r="AG27" s="1"/>
  <c r="V27"/>
  <c r="Y27" s="1"/>
  <c r="N27"/>
  <c r="Q27" s="1"/>
  <c r="F27"/>
  <c r="H27" s="1"/>
  <c r="AI26"/>
  <c r="AD26"/>
  <c r="AG26" s="1"/>
  <c r="AI25"/>
  <c r="AG25"/>
  <c r="AF25"/>
  <c r="AD25"/>
  <c r="F25"/>
  <c r="I25" s="1"/>
  <c r="AI24"/>
  <c r="AG24"/>
  <c r="AF24"/>
  <c r="AD24"/>
  <c r="V24"/>
  <c r="Y24" s="1"/>
  <c r="N24"/>
  <c r="Q24" s="1"/>
  <c r="F24"/>
  <c r="H24" s="1"/>
  <c r="AI23"/>
  <c r="AF23"/>
  <c r="AD23"/>
  <c r="AG23" s="1"/>
  <c r="V23"/>
  <c r="Y23" s="1"/>
  <c r="N23"/>
  <c r="P23" s="1"/>
  <c r="F23"/>
  <c r="I23" s="1"/>
  <c r="AI22"/>
  <c r="AD22"/>
  <c r="AG22" s="1"/>
  <c r="N22"/>
  <c r="Q22" s="1"/>
  <c r="AI21"/>
  <c r="AG21"/>
  <c r="AF21"/>
  <c r="AD21"/>
  <c r="N21"/>
  <c r="Q21" s="1"/>
  <c r="F21"/>
  <c r="I21" s="1"/>
  <c r="AI20"/>
  <c r="AG20"/>
  <c r="AF20"/>
  <c r="AD20"/>
  <c r="V20"/>
  <c r="Y20" s="1"/>
  <c r="N20"/>
  <c r="Q20" s="1"/>
  <c r="F20"/>
  <c r="H20" s="1"/>
  <c r="AI19"/>
  <c r="AF19"/>
  <c r="AD19"/>
  <c r="AG19" s="1"/>
  <c r="V19"/>
  <c r="Y19" s="1"/>
  <c r="N19"/>
  <c r="Q19" s="1"/>
  <c r="F19"/>
  <c r="H19" s="1"/>
  <c r="AI18"/>
  <c r="AD18"/>
  <c r="AG18" s="1"/>
  <c r="AI17"/>
  <c r="AG17"/>
  <c r="AF17"/>
  <c r="AD17"/>
  <c r="F17"/>
  <c r="I17" s="1"/>
  <c r="AI16"/>
  <c r="AG16"/>
  <c r="AF16"/>
  <c r="AD16"/>
  <c r="V16"/>
  <c r="Y16" s="1"/>
  <c r="N16"/>
  <c r="Q16" s="1"/>
  <c r="F16"/>
  <c r="H16" s="1"/>
  <c r="AI15"/>
  <c r="AF15"/>
  <c r="AD15"/>
  <c r="AG15" s="1"/>
  <c r="V15"/>
  <c r="Y15" s="1"/>
  <c r="N15"/>
  <c r="P15" s="1"/>
  <c r="F15"/>
  <c r="H15" s="1"/>
  <c r="AI14"/>
  <c r="AD14"/>
  <c r="AG14" s="1"/>
  <c r="N14"/>
  <c r="Q14" s="1"/>
  <c r="AI13"/>
  <c r="AG13"/>
  <c r="AF13"/>
  <c r="AD13"/>
  <c r="N13"/>
  <c r="Q13" s="1"/>
  <c r="F13"/>
  <c r="I13" s="1"/>
  <c r="AI12"/>
  <c r="AG12"/>
  <c r="AF12"/>
  <c r="AD12"/>
  <c r="V12"/>
  <c r="Y12" s="1"/>
  <c r="N12"/>
  <c r="Q12" s="1"/>
  <c r="I12"/>
  <c r="F12"/>
  <c r="H12" s="1"/>
  <c r="AI11"/>
  <c r="AF11"/>
  <c r="AD11"/>
  <c r="AG11" s="1"/>
  <c r="V11"/>
  <c r="Y11" s="1"/>
  <c r="N11"/>
  <c r="P11" s="1"/>
  <c r="F11"/>
  <c r="H11" s="1"/>
  <c r="AI10"/>
  <c r="AD10"/>
  <c r="AG10" s="1"/>
  <c r="V10"/>
  <c r="Y10" s="1"/>
  <c r="AI9"/>
  <c r="AG9"/>
  <c r="AF9"/>
  <c r="AD9"/>
  <c r="F9"/>
  <c r="I9" s="1"/>
  <c r="AI8"/>
  <c r="AG8"/>
  <c r="AF8"/>
  <c r="AD8"/>
  <c r="V8"/>
  <c r="Y8" s="1"/>
  <c r="N8"/>
  <c r="Q8" s="1"/>
  <c r="F8"/>
  <c r="H8" s="1"/>
  <c r="AI7"/>
  <c r="AF7"/>
  <c r="AD7"/>
  <c r="AG7" s="1"/>
  <c r="V7"/>
  <c r="Y7" s="1"/>
  <c r="N7"/>
  <c r="Q7" s="1"/>
  <c r="F7"/>
  <c r="I7" s="1"/>
  <c r="AI6"/>
  <c r="AD6"/>
  <c r="AG6" s="1"/>
  <c r="N6"/>
  <c r="Q6" s="1"/>
  <c r="AI5"/>
  <c r="AG5"/>
  <c r="AF5"/>
  <c r="AD5"/>
  <c r="F5"/>
  <c r="I5" s="1"/>
  <c r="AG4"/>
  <c r="AF4"/>
  <c r="AD4"/>
  <c r="V4"/>
  <c r="Y4" s="1"/>
  <c r="N4"/>
  <c r="Q4" s="1"/>
  <c r="F4"/>
  <c r="H4" s="1"/>
  <c r="AI3"/>
  <c r="AF3"/>
  <c r="AD3"/>
  <c r="AG3" s="1"/>
  <c r="V3"/>
  <c r="Y3" s="1"/>
  <c r="N3"/>
  <c r="P3" s="1"/>
  <c r="F3"/>
  <c r="I3" s="1"/>
  <c r="B2" a="1"/>
  <c r="B2" s="1"/>
  <c r="AI4" i="3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"/>
  <c r="A7" i="4" a="1"/>
  <c r="A7" s="1"/>
  <c r="AD32" i="3"/>
  <c r="AG32" s="1"/>
  <c r="V32"/>
  <c r="Y32" s="1"/>
  <c r="N32"/>
  <c r="Q32" s="1"/>
  <c r="F32"/>
  <c r="H32" s="1"/>
  <c r="AD31"/>
  <c r="AG31" s="1"/>
  <c r="V31"/>
  <c r="Y31" s="1"/>
  <c r="N31"/>
  <c r="Q31" s="1"/>
  <c r="F31"/>
  <c r="H31" s="1"/>
  <c r="AD30"/>
  <c r="AG30" s="1"/>
  <c r="V30"/>
  <c r="Y30" s="1"/>
  <c r="N30"/>
  <c r="P30" s="1"/>
  <c r="F30"/>
  <c r="H30" s="1"/>
  <c r="AD29"/>
  <c r="AG29" s="1"/>
  <c r="V29"/>
  <c r="Y29" s="1"/>
  <c r="N29"/>
  <c r="P29" s="1"/>
  <c r="F29"/>
  <c r="H29" s="1"/>
  <c r="AD28"/>
  <c r="AG28" s="1"/>
  <c r="V28"/>
  <c r="Y28" s="1"/>
  <c r="N28"/>
  <c r="P28" s="1"/>
  <c r="F28"/>
  <c r="H28" s="1"/>
  <c r="AD27"/>
  <c r="AG27" s="1"/>
  <c r="V27"/>
  <c r="Y27" s="1"/>
  <c r="N27"/>
  <c r="P27" s="1"/>
  <c r="F27"/>
  <c r="H27" s="1"/>
  <c r="AD26"/>
  <c r="AG26" s="1"/>
  <c r="V26"/>
  <c r="Y26" s="1"/>
  <c r="N26"/>
  <c r="P26" s="1"/>
  <c r="F26"/>
  <c r="H26" s="1"/>
  <c r="AD25"/>
  <c r="AG25" s="1"/>
  <c r="V25"/>
  <c r="Y25" s="1"/>
  <c r="N25"/>
  <c r="P25" s="1"/>
  <c r="F25"/>
  <c r="H25" s="1"/>
  <c r="AD24"/>
  <c r="AG24" s="1"/>
  <c r="V24"/>
  <c r="Y24" s="1"/>
  <c r="N24"/>
  <c r="P24" s="1"/>
  <c r="F24"/>
  <c r="H24" s="1"/>
  <c r="AD23"/>
  <c r="AG23" s="1"/>
  <c r="V23"/>
  <c r="Y23" s="1"/>
  <c r="N23"/>
  <c r="P23" s="1"/>
  <c r="F23"/>
  <c r="H23" s="1"/>
  <c r="AD22"/>
  <c r="AG22" s="1"/>
  <c r="V22"/>
  <c r="Y22" s="1"/>
  <c r="N22"/>
  <c r="P22" s="1"/>
  <c r="F22"/>
  <c r="H22" s="1"/>
  <c r="AD21"/>
  <c r="AG21" s="1"/>
  <c r="V21"/>
  <c r="Y21" s="1"/>
  <c r="N21"/>
  <c r="P21" s="1"/>
  <c r="F21"/>
  <c r="H21" s="1"/>
  <c r="AD20"/>
  <c r="AG20" s="1"/>
  <c r="V20"/>
  <c r="Y20" s="1"/>
  <c r="N20"/>
  <c r="P20" s="1"/>
  <c r="F20"/>
  <c r="H20" s="1"/>
  <c r="AD19"/>
  <c r="AG19" s="1"/>
  <c r="V19"/>
  <c r="Y19" s="1"/>
  <c r="N19"/>
  <c r="P19" s="1"/>
  <c r="F19"/>
  <c r="H19" s="1"/>
  <c r="AD18"/>
  <c r="AG18" s="1"/>
  <c r="V18"/>
  <c r="Y18" s="1"/>
  <c r="N18"/>
  <c r="P18" s="1"/>
  <c r="F18"/>
  <c r="H18" s="1"/>
  <c r="AD17"/>
  <c r="AG17" s="1"/>
  <c r="V17"/>
  <c r="Y17" s="1"/>
  <c r="N17"/>
  <c r="P17" s="1"/>
  <c r="F17"/>
  <c r="H17" s="1"/>
  <c r="AD16"/>
  <c r="AG16" s="1"/>
  <c r="V16"/>
  <c r="Y16" s="1"/>
  <c r="N16"/>
  <c r="P16" s="1"/>
  <c r="F16"/>
  <c r="H16" s="1"/>
  <c r="AD15"/>
  <c r="AG15" s="1"/>
  <c r="V15"/>
  <c r="Y15" s="1"/>
  <c r="N15"/>
  <c r="P15" s="1"/>
  <c r="F15"/>
  <c r="H15" s="1"/>
  <c r="AD14"/>
  <c r="AG14" s="1"/>
  <c r="V14"/>
  <c r="Y14" s="1"/>
  <c r="N14"/>
  <c r="P14" s="1"/>
  <c r="F14"/>
  <c r="H14" s="1"/>
  <c r="AD13"/>
  <c r="AG13" s="1"/>
  <c r="V13"/>
  <c r="Y13" s="1"/>
  <c r="N13"/>
  <c r="P13" s="1"/>
  <c r="F13"/>
  <c r="H13" s="1"/>
  <c r="AD12"/>
  <c r="AG12" s="1"/>
  <c r="V12"/>
  <c r="Y12" s="1"/>
  <c r="N12"/>
  <c r="P12" s="1"/>
  <c r="F12"/>
  <c r="H12" s="1"/>
  <c r="AD11"/>
  <c r="AG11" s="1"/>
  <c r="V11"/>
  <c r="Y11" s="1"/>
  <c r="N11"/>
  <c r="P11" s="1"/>
  <c r="F11"/>
  <c r="H11" s="1"/>
  <c r="AD10"/>
  <c r="AG10" s="1"/>
  <c r="V10"/>
  <c r="Y10" s="1"/>
  <c r="N10"/>
  <c r="P10" s="1"/>
  <c r="F10"/>
  <c r="H10" s="1"/>
  <c r="AD9"/>
  <c r="AG9" s="1"/>
  <c r="V9"/>
  <c r="Y9" s="1"/>
  <c r="N9"/>
  <c r="P9" s="1"/>
  <c r="F9"/>
  <c r="H9" s="1"/>
  <c r="AD8"/>
  <c r="AG8" s="1"/>
  <c r="V8"/>
  <c r="Y8" s="1"/>
  <c r="N8"/>
  <c r="P8" s="1"/>
  <c r="F8"/>
  <c r="H8" s="1"/>
  <c r="AD7"/>
  <c r="AG7" s="1"/>
  <c r="V7"/>
  <c r="Y7" s="1"/>
  <c r="N7"/>
  <c r="P7" s="1"/>
  <c r="F7"/>
  <c r="H7" s="1"/>
  <c r="AD6"/>
  <c r="AG6" s="1"/>
  <c r="V6"/>
  <c r="Y6" s="1"/>
  <c r="N6"/>
  <c r="P6" s="1"/>
  <c r="F6"/>
  <c r="H6" s="1"/>
  <c r="AD5"/>
  <c r="AG5" s="1"/>
  <c r="V5"/>
  <c r="Y5" s="1"/>
  <c r="N5"/>
  <c r="P5" s="1"/>
  <c r="F5"/>
  <c r="H5" s="1"/>
  <c r="C6" i="8" s="1"/>
  <c r="AD4" i="3"/>
  <c r="AG4" s="1"/>
  <c r="V4"/>
  <c r="Y4" s="1"/>
  <c r="N4"/>
  <c r="P4" s="1"/>
  <c r="F4"/>
  <c r="H4" s="1"/>
  <c r="C5" i="8" s="1"/>
  <c r="AD3" i="3"/>
  <c r="AG3" s="1"/>
  <c r="V3"/>
  <c r="Y3" s="1"/>
  <c r="N3"/>
  <c r="P3" s="1"/>
  <c r="F3"/>
  <c r="H3" s="1"/>
  <c r="C4" i="8" s="1"/>
  <c r="E15" i="2"/>
  <c r="C8" i="4" l="1" a="1"/>
  <c r="C8" s="1"/>
  <c r="AG21" i="7"/>
  <c r="AF21"/>
  <c r="AF25"/>
  <c r="AG25"/>
  <c r="AG10"/>
  <c r="AF10"/>
  <c r="AG18"/>
  <c r="AF18"/>
  <c r="AF9"/>
  <c r="AG9"/>
  <c r="AG17"/>
  <c r="AF17"/>
  <c r="AG29"/>
  <c r="AF29"/>
  <c r="AF4"/>
  <c r="AF5"/>
  <c r="AF6"/>
  <c r="AG13"/>
  <c r="AF14"/>
  <c r="AF22"/>
  <c r="AG26"/>
  <c r="AG30"/>
  <c r="Y15"/>
  <c r="Y19"/>
  <c r="Y6"/>
  <c r="X6"/>
  <c r="X14"/>
  <c r="Y14"/>
  <c r="X10"/>
  <c r="Y10"/>
  <c r="X5"/>
  <c r="X7"/>
  <c r="X11"/>
  <c r="X22"/>
  <c r="X3"/>
  <c r="X18"/>
  <c r="X23"/>
  <c r="X26"/>
  <c r="Y27"/>
  <c r="X30"/>
  <c r="Y31"/>
  <c r="Q4"/>
  <c r="Q3"/>
  <c r="P24"/>
  <c r="Q7"/>
  <c r="Q31"/>
  <c r="P15"/>
  <c r="P23"/>
  <c r="P8"/>
  <c r="Q11"/>
  <c r="P12"/>
  <c r="P16"/>
  <c r="Q19"/>
  <c r="P20"/>
  <c r="P27"/>
  <c r="Q28"/>
  <c r="Q32"/>
  <c r="H16"/>
  <c r="I12"/>
  <c r="I20"/>
  <c r="I5"/>
  <c r="H5"/>
  <c r="H17"/>
  <c r="H9"/>
  <c r="H13"/>
  <c r="H21"/>
  <c r="I25"/>
  <c r="H28"/>
  <c r="I29"/>
  <c r="H32"/>
  <c r="H4"/>
  <c r="AG3"/>
  <c r="AK3" s="1"/>
  <c r="AF3"/>
  <c r="H3"/>
  <c r="Q10"/>
  <c r="P10"/>
  <c r="I11"/>
  <c r="H11"/>
  <c r="AG12"/>
  <c r="AJ12" s="1"/>
  <c r="AK12" s="1"/>
  <c r="AF12"/>
  <c r="Q18"/>
  <c r="P18"/>
  <c r="I19"/>
  <c r="H19"/>
  <c r="AG20"/>
  <c r="AF20"/>
  <c r="Y25"/>
  <c r="X25"/>
  <c r="AG28"/>
  <c r="AF28"/>
  <c r="I31"/>
  <c r="H31"/>
  <c r="Y13"/>
  <c r="X13"/>
  <c r="Q26"/>
  <c r="P26"/>
  <c r="Y4"/>
  <c r="AJ4" s="1"/>
  <c r="AK4" s="1"/>
  <c r="X4"/>
  <c r="Q5"/>
  <c r="P5"/>
  <c r="I6"/>
  <c r="H6"/>
  <c r="Y9"/>
  <c r="AJ9" s="1"/>
  <c r="AK9" s="1"/>
  <c r="X9"/>
  <c r="Y17"/>
  <c r="X17"/>
  <c r="AJ26"/>
  <c r="AK26" s="1"/>
  <c r="Q30"/>
  <c r="AJ30" s="1"/>
  <c r="AK30" s="1"/>
  <c r="P30"/>
  <c r="AJ10"/>
  <c r="AK10" s="1"/>
  <c r="AJ18"/>
  <c r="AK18" s="1"/>
  <c r="Y21"/>
  <c r="AJ21" s="1"/>
  <c r="AK21" s="1"/>
  <c r="X21"/>
  <c r="Q6"/>
  <c r="P6"/>
  <c r="I7"/>
  <c r="H7"/>
  <c r="AG8"/>
  <c r="AJ8" s="1"/>
  <c r="AK8" s="1"/>
  <c r="AF8"/>
  <c r="Q14"/>
  <c r="P14"/>
  <c r="I15"/>
  <c r="AJ15" s="1"/>
  <c r="AK15" s="1"/>
  <c r="H15"/>
  <c r="AG16"/>
  <c r="AJ16" s="1"/>
  <c r="AK16" s="1"/>
  <c r="AF16"/>
  <c r="Q22"/>
  <c r="AJ22" s="1"/>
  <c r="AK22" s="1"/>
  <c r="P22"/>
  <c r="I23"/>
  <c r="AJ23" s="1"/>
  <c r="AK23" s="1"/>
  <c r="H23"/>
  <c r="AG24"/>
  <c r="AJ24" s="1"/>
  <c r="AK24" s="1"/>
  <c r="AF24"/>
  <c r="I27"/>
  <c r="H27"/>
  <c r="Y29"/>
  <c r="X29"/>
  <c r="AG32"/>
  <c r="AF32"/>
  <c r="AF7"/>
  <c r="X8"/>
  <c r="P9"/>
  <c r="H10"/>
  <c r="AF11"/>
  <c r="X12"/>
  <c r="P13"/>
  <c r="H14"/>
  <c r="AF15"/>
  <c r="X16"/>
  <c r="P17"/>
  <c r="H18"/>
  <c r="AF19"/>
  <c r="X20"/>
  <c r="P21"/>
  <c r="H22"/>
  <c r="AF23"/>
  <c r="X24"/>
  <c r="P25"/>
  <c r="H26"/>
  <c r="AF27"/>
  <c r="X28"/>
  <c r="P29"/>
  <c r="H30"/>
  <c r="AF31"/>
  <c r="X32"/>
  <c r="X12" i="6"/>
  <c r="X4"/>
  <c r="X20"/>
  <c r="X8"/>
  <c r="X9"/>
  <c r="Y9"/>
  <c r="X17"/>
  <c r="Y17"/>
  <c r="Y29"/>
  <c r="X29"/>
  <c r="X6"/>
  <c r="Y6"/>
  <c r="Y22"/>
  <c r="X22"/>
  <c r="Y30"/>
  <c r="X30"/>
  <c r="X5"/>
  <c r="Y5"/>
  <c r="Y13"/>
  <c r="X13"/>
  <c r="Y21"/>
  <c r="X21"/>
  <c r="Y25"/>
  <c r="X25"/>
  <c r="Y14"/>
  <c r="X14"/>
  <c r="X18"/>
  <c r="Y18"/>
  <c r="X26"/>
  <c r="Y26"/>
  <c r="X10"/>
  <c r="X16"/>
  <c r="X24"/>
  <c r="X32"/>
  <c r="Q3"/>
  <c r="Q11"/>
  <c r="Q23"/>
  <c r="Q15"/>
  <c r="Q31"/>
  <c r="AJ31" s="1"/>
  <c r="AK31" s="1"/>
  <c r="Q5"/>
  <c r="P5"/>
  <c r="Q25"/>
  <c r="P25"/>
  <c r="P10"/>
  <c r="Q10"/>
  <c r="Q18"/>
  <c r="P18"/>
  <c r="Q9"/>
  <c r="P9"/>
  <c r="Q17"/>
  <c r="P17"/>
  <c r="Q26"/>
  <c r="P26"/>
  <c r="P19"/>
  <c r="P27"/>
  <c r="P29"/>
  <c r="P7"/>
  <c r="P14"/>
  <c r="P22"/>
  <c r="P30"/>
  <c r="AJ7"/>
  <c r="AK7" s="1"/>
  <c r="P6"/>
  <c r="P13"/>
  <c r="P21"/>
  <c r="AJ23"/>
  <c r="AK23" s="1"/>
  <c r="I28"/>
  <c r="AJ28" s="1"/>
  <c r="AK28" s="1"/>
  <c r="I8"/>
  <c r="I24"/>
  <c r="AJ24" s="1"/>
  <c r="AK24" s="1"/>
  <c r="I4"/>
  <c r="AJ4" s="1"/>
  <c r="AK4" s="1"/>
  <c r="I20"/>
  <c r="AJ20" s="1"/>
  <c r="AK20" s="1"/>
  <c r="I16"/>
  <c r="AJ16" s="1"/>
  <c r="AK16" s="1"/>
  <c r="I32"/>
  <c r="AJ32" s="1"/>
  <c r="AK32" s="1"/>
  <c r="I6"/>
  <c r="H6"/>
  <c r="I10"/>
  <c r="H10"/>
  <c r="I14"/>
  <c r="AJ14" s="1"/>
  <c r="AK14" s="1"/>
  <c r="H14"/>
  <c r="I22"/>
  <c r="AJ22" s="1"/>
  <c r="AK22" s="1"/>
  <c r="H22"/>
  <c r="I26"/>
  <c r="H26"/>
  <c r="I30"/>
  <c r="AJ30" s="1"/>
  <c r="AK30" s="1"/>
  <c r="H30"/>
  <c r="I18"/>
  <c r="H18"/>
  <c r="H3"/>
  <c r="H7"/>
  <c r="H23"/>
  <c r="H31"/>
  <c r="I11"/>
  <c r="AJ11" s="1"/>
  <c r="AK11" s="1"/>
  <c r="I15"/>
  <c r="I19"/>
  <c r="AJ19" s="1"/>
  <c r="AK19" s="1"/>
  <c r="I27"/>
  <c r="AJ27" s="1"/>
  <c r="AK27" s="1"/>
  <c r="AK3"/>
  <c r="AJ8"/>
  <c r="AK8" s="1"/>
  <c r="AJ12"/>
  <c r="AK12" s="1"/>
  <c r="AJ5"/>
  <c r="AK5" s="1"/>
  <c r="AJ9"/>
  <c r="AK9" s="1"/>
  <c r="AJ13"/>
  <c r="AK13" s="1"/>
  <c r="AJ21"/>
  <c r="AK21" s="1"/>
  <c r="AJ29"/>
  <c r="AK29" s="1"/>
  <c r="X3"/>
  <c r="P4"/>
  <c r="H5"/>
  <c r="AF6"/>
  <c r="X7"/>
  <c r="P8"/>
  <c r="H9"/>
  <c r="AF10"/>
  <c r="X11"/>
  <c r="P12"/>
  <c r="H13"/>
  <c r="AF14"/>
  <c r="X15"/>
  <c r="P16"/>
  <c r="H17"/>
  <c r="AF18"/>
  <c r="X19"/>
  <c r="P20"/>
  <c r="H21"/>
  <c r="AF22"/>
  <c r="X23"/>
  <c r="P24"/>
  <c r="H25"/>
  <c r="AF26"/>
  <c r="X27"/>
  <c r="P28"/>
  <c r="H29"/>
  <c r="AF30"/>
  <c r="X31"/>
  <c r="P32"/>
  <c r="AF3" i="3"/>
  <c r="Q27"/>
  <c r="Q11"/>
  <c r="Q15"/>
  <c r="Q3"/>
  <c r="Q19"/>
  <c r="Q7"/>
  <c r="Q23"/>
  <c r="Q28"/>
  <c r="Q5"/>
  <c r="Q9"/>
  <c r="Q13"/>
  <c r="Q17"/>
  <c r="Q21"/>
  <c r="Q25"/>
  <c r="Q29"/>
  <c r="Q4"/>
  <c r="Q8"/>
  <c r="Q12"/>
  <c r="Q16"/>
  <c r="Q20"/>
  <c r="Q24"/>
  <c r="Q6"/>
  <c r="Q10"/>
  <c r="Q14"/>
  <c r="Q18"/>
  <c r="Q22"/>
  <c r="Q26"/>
  <c r="Q30"/>
  <c r="I32"/>
  <c r="AJ32" s="1"/>
  <c r="I5"/>
  <c r="D6" i="8" s="1"/>
  <c r="I7" i="3"/>
  <c r="I8"/>
  <c r="I9"/>
  <c r="I10"/>
  <c r="I11"/>
  <c r="I12"/>
  <c r="I13"/>
  <c r="I14"/>
  <c r="I15"/>
  <c r="AJ15" s="1"/>
  <c r="I16"/>
  <c r="AJ16" s="1"/>
  <c r="I17"/>
  <c r="I18"/>
  <c r="I19"/>
  <c r="I20"/>
  <c r="AJ20" s="1"/>
  <c r="I21"/>
  <c r="AJ21" s="1"/>
  <c r="I22"/>
  <c r="AJ22" s="1"/>
  <c r="I23"/>
  <c r="AJ23" s="1"/>
  <c r="I24"/>
  <c r="I25"/>
  <c r="I26"/>
  <c r="I27"/>
  <c r="I28"/>
  <c r="AJ28" s="1"/>
  <c r="I29"/>
  <c r="I30"/>
  <c r="I31"/>
  <c r="AJ31" s="1"/>
  <c r="I3"/>
  <c r="I6"/>
  <c r="I4"/>
  <c r="D5" i="8" s="1"/>
  <c r="AF4" i="3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P31"/>
  <c r="AF31"/>
  <c r="P32"/>
  <c r="AF32"/>
  <c r="X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AJ3" l="1"/>
  <c r="D4" i="8"/>
  <c r="AJ6" i="3"/>
  <c r="AK6" s="1"/>
  <c r="AJ25"/>
  <c r="AK25" s="1"/>
  <c r="AJ9"/>
  <c r="AJ12"/>
  <c r="AK12" s="1"/>
  <c r="AJ11"/>
  <c r="AJ7"/>
  <c r="AJ4"/>
  <c r="AK4" s="1"/>
  <c r="AJ30"/>
  <c r="AK30" s="1"/>
  <c r="AJ26"/>
  <c r="AK26" s="1"/>
  <c r="AJ14"/>
  <c r="AK14" s="1"/>
  <c r="AJ10"/>
  <c r="AJ29"/>
  <c r="AK29" s="1"/>
  <c r="AJ17"/>
  <c r="AK17" s="1"/>
  <c r="AJ13"/>
  <c r="AK13" s="1"/>
  <c r="L8" i="4"/>
  <c r="AJ24" i="3"/>
  <c r="AK24" s="1"/>
  <c r="AJ8"/>
  <c r="AK8" s="1"/>
  <c r="AJ27"/>
  <c r="AK27" s="1"/>
  <c r="AJ19"/>
  <c r="AJ18"/>
  <c r="AK18" s="1"/>
  <c r="AJ5"/>
  <c r="AK5" s="1"/>
  <c r="AK28"/>
  <c r="AK20"/>
  <c r="AK19"/>
  <c r="AK11"/>
  <c r="AK22"/>
  <c r="AK10"/>
  <c r="AK31"/>
  <c r="AK23"/>
  <c r="AK15"/>
  <c r="AK7"/>
  <c r="AK21"/>
  <c r="AK9"/>
  <c r="AK32"/>
  <c r="AJ13" i="7"/>
  <c r="AK13" s="1"/>
  <c r="AJ25"/>
  <c r="AK25" s="1"/>
  <c r="AJ17"/>
  <c r="AK17" s="1"/>
  <c r="AJ27"/>
  <c r="AK27" s="1"/>
  <c r="AJ14"/>
  <c r="AK14" s="1"/>
  <c r="AJ29"/>
  <c r="AK29" s="1"/>
  <c r="AJ32"/>
  <c r="AK32" s="1"/>
  <c r="AJ7"/>
  <c r="AK7" s="1"/>
  <c r="AJ28"/>
  <c r="AK28" s="1"/>
  <c r="AJ11"/>
  <c r="AK11" s="1"/>
  <c r="AJ31"/>
  <c r="AK31" s="1"/>
  <c r="AJ19"/>
  <c r="AK19" s="1"/>
  <c r="AJ6"/>
  <c r="AK6" s="1"/>
  <c r="AJ5"/>
  <c r="AK5" s="1"/>
  <c r="AJ20"/>
  <c r="AK20" s="1"/>
  <c r="AJ26" i="6"/>
  <c r="AK26" s="1"/>
  <c r="AJ17"/>
  <c r="AK17" s="1"/>
  <c r="AJ25"/>
  <c r="AK25" s="1"/>
  <c r="AJ6"/>
  <c r="AK6" s="1"/>
  <c r="AJ18"/>
  <c r="AK18" s="1"/>
  <c r="AJ15"/>
  <c r="AK15" s="1"/>
  <c r="AJ10"/>
  <c r="AK10" s="1"/>
  <c r="AK16" i="3"/>
  <c r="AK3" l="1"/>
  <c r="D8" i="4" a="1"/>
  <c r="D8" l="1"/>
  <c r="E8" l="1"/>
  <c r="M8"/>
  <c r="O8" l="1"/>
  <c r="N8"/>
  <c r="B33" i="10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3" i="9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3" i="8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2" i="7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2" i="6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B32" i="3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B7"/>
  <c r="B6"/>
  <c r="B5"/>
  <c r="B4"/>
  <c r="B3"/>
  <c r="J37" i="4"/>
  <c r="K37" s="1"/>
  <c r="J36"/>
  <c r="K36" s="1"/>
  <c r="J35"/>
  <c r="K35" s="1"/>
  <c r="J34"/>
  <c r="K34" s="1"/>
  <c r="J33"/>
  <c r="K33" s="1"/>
  <c r="J32"/>
  <c r="K32" s="1"/>
  <c r="J31"/>
  <c r="K31" s="1"/>
  <c r="J30"/>
  <c r="K30" s="1"/>
  <c r="J29"/>
  <c r="K29" s="1"/>
  <c r="J28"/>
  <c r="K28" s="1"/>
  <c r="J27"/>
  <c r="K27" s="1"/>
  <c r="J26"/>
  <c r="K26" s="1"/>
  <c r="J25"/>
  <c r="K25" s="1"/>
  <c r="J24"/>
  <c r="K24" s="1"/>
  <c r="J23"/>
  <c r="K23" s="1"/>
  <c r="J22"/>
  <c r="K22" s="1"/>
  <c r="J21"/>
  <c r="K21" s="1"/>
  <c r="J20"/>
  <c r="K20" s="1"/>
  <c r="J19"/>
  <c r="K19" s="1"/>
  <c r="J18"/>
  <c r="K18" s="1"/>
  <c r="J17"/>
  <c r="K17" s="1"/>
  <c r="J16"/>
  <c r="K16" s="1"/>
  <c r="J15"/>
  <c r="K15" s="1"/>
  <c r="J14"/>
  <c r="K14" s="1"/>
  <c r="J13"/>
  <c r="K13" s="1"/>
  <c r="J12"/>
  <c r="K12" s="1"/>
  <c r="J11"/>
  <c r="K11" s="1"/>
  <c r="J10"/>
  <c r="K10" s="1"/>
  <c r="J9"/>
  <c r="K9" s="1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G26"/>
  <c r="H26" s="1"/>
  <c r="G25"/>
  <c r="H25" s="1"/>
  <c r="G24"/>
  <c r="H24" s="1"/>
  <c r="G23"/>
  <c r="H23" s="1"/>
  <c r="G22"/>
  <c r="H22" s="1"/>
  <c r="G21"/>
  <c r="H21" s="1"/>
  <c r="G20"/>
  <c r="H20" s="1"/>
  <c r="G19"/>
  <c r="H19" s="1"/>
  <c r="G18"/>
  <c r="H18" s="1"/>
  <c r="G17"/>
  <c r="H17" s="1"/>
  <c r="G16"/>
  <c r="H16" s="1"/>
  <c r="G15"/>
  <c r="H15" s="1"/>
  <c r="G14"/>
  <c r="H14" s="1"/>
  <c r="G13"/>
  <c r="H13" s="1"/>
  <c r="G12"/>
  <c r="H12" s="1"/>
  <c r="G11"/>
  <c r="H11" s="1"/>
  <c r="G10"/>
  <c r="H10" s="1"/>
  <c r="G9"/>
  <c r="H9" s="1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D37"/>
  <c r="E37" s="1"/>
  <c r="D36"/>
  <c r="E36" s="1"/>
  <c r="D35"/>
  <c r="E35" s="1"/>
  <c r="D34"/>
  <c r="E34" s="1"/>
  <c r="D33"/>
  <c r="E33" s="1"/>
  <c r="D32"/>
  <c r="E32" s="1"/>
  <c r="D31"/>
  <c r="E31" s="1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D21"/>
  <c r="E21" s="1"/>
  <c r="D20"/>
  <c r="E20" s="1"/>
  <c r="D19"/>
  <c r="E19" s="1"/>
  <c r="D18"/>
  <c r="E18" s="1"/>
  <c r="D17"/>
  <c r="E17" s="1"/>
  <c r="D16"/>
  <c r="E16" s="1"/>
  <c r="D15"/>
  <c r="E15" s="1"/>
  <c r="D14"/>
  <c r="E14" s="1"/>
  <c r="D13"/>
  <c r="E13" s="1"/>
  <c r="D12"/>
  <c r="E12" s="1"/>
  <c r="D11"/>
  <c r="E11" s="1"/>
  <c r="D10"/>
  <c r="E10" s="1"/>
  <c r="D9"/>
  <c r="E9" s="1"/>
  <c r="C37"/>
  <c r="L37" s="1"/>
  <c r="M37" s="1"/>
  <c r="C36"/>
  <c r="L36" s="1"/>
  <c r="C35"/>
  <c r="L35" s="1"/>
  <c r="M35" s="1"/>
  <c r="C34"/>
  <c r="L34" s="1"/>
  <c r="C33"/>
  <c r="L33" s="1"/>
  <c r="M33" s="1"/>
  <c r="C32"/>
  <c r="L32" s="1"/>
  <c r="M32" s="1"/>
  <c r="C31"/>
  <c r="L31" s="1"/>
  <c r="M31" s="1"/>
  <c r="C30"/>
  <c r="L30" s="1"/>
  <c r="M30" s="1"/>
  <c r="C29"/>
  <c r="L29" s="1"/>
  <c r="M29" s="1"/>
  <c r="C28"/>
  <c r="L28" s="1"/>
  <c r="C27"/>
  <c r="L27" s="1"/>
  <c r="M27" s="1"/>
  <c r="C26"/>
  <c r="L26" s="1"/>
  <c r="C25"/>
  <c r="L25" s="1"/>
  <c r="M25" s="1"/>
  <c r="C24"/>
  <c r="L24" s="1"/>
  <c r="M24" s="1"/>
  <c r="C23"/>
  <c r="L23" s="1"/>
  <c r="M23" s="1"/>
  <c r="C22"/>
  <c r="L22" s="1"/>
  <c r="M22" s="1"/>
  <c r="C21"/>
  <c r="L21" s="1"/>
  <c r="M21" s="1"/>
  <c r="C20"/>
  <c r="L20" s="1"/>
  <c r="C19"/>
  <c r="L19" s="1"/>
  <c r="M19" s="1"/>
  <c r="C18"/>
  <c r="L18" s="1"/>
  <c r="C17"/>
  <c r="L17" s="1"/>
  <c r="M17" s="1"/>
  <c r="C16"/>
  <c r="L16" s="1"/>
  <c r="M16" s="1"/>
  <c r="C15"/>
  <c r="L15" s="1"/>
  <c r="M15" s="1"/>
  <c r="C14"/>
  <c r="L14" s="1"/>
  <c r="M14" s="1"/>
  <c r="C13"/>
  <c r="L13" s="1"/>
  <c r="M13" s="1"/>
  <c r="C12"/>
  <c r="L12" s="1"/>
  <c r="C11"/>
  <c r="L11" s="1"/>
  <c r="M11" s="1"/>
  <c r="C10"/>
  <c r="L10" s="1"/>
  <c r="C9"/>
  <c r="L9" s="1"/>
  <c r="M9" s="1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M12" l="1"/>
  <c r="M20"/>
  <c r="O20" s="1"/>
  <c r="M28"/>
  <c r="O28" s="1"/>
  <c r="M36"/>
  <c r="N36" s="1"/>
  <c r="M10"/>
  <c r="M18"/>
  <c r="O18" s="1"/>
  <c r="M26"/>
  <c r="O26" s="1"/>
  <c r="M34"/>
  <c r="N34" s="1"/>
  <c r="N10"/>
  <c r="O10"/>
  <c r="O14"/>
  <c r="N14"/>
  <c r="O16"/>
  <c r="N16"/>
  <c r="O22"/>
  <c r="N22"/>
  <c r="N24"/>
  <c r="O24"/>
  <c r="N26"/>
  <c r="O30"/>
  <c r="N30"/>
  <c r="N32"/>
  <c r="O32"/>
  <c r="O34"/>
  <c r="O36"/>
  <c r="N12"/>
  <c r="O12"/>
  <c r="N9"/>
  <c r="O9"/>
  <c r="O11"/>
  <c r="N11"/>
  <c r="N13"/>
  <c r="O13"/>
  <c r="O15"/>
  <c r="N15"/>
  <c r="N17"/>
  <c r="O17"/>
  <c r="O19"/>
  <c r="N19"/>
  <c r="N21"/>
  <c r="O21"/>
  <c r="O23"/>
  <c r="N23"/>
  <c r="N25"/>
  <c r="O25"/>
  <c r="O27"/>
  <c r="N27"/>
  <c r="N29"/>
  <c r="O29"/>
  <c r="O31"/>
  <c r="N31"/>
  <c r="N33"/>
  <c r="O33"/>
  <c r="O35"/>
  <c r="N35"/>
  <c r="N37"/>
  <c r="O37"/>
  <c r="N28" l="1"/>
  <c r="N20"/>
  <c r="N18"/>
</calcChain>
</file>

<file path=xl/connections.xml><?xml version="1.0" encoding="utf-8"?>
<connections xmlns="http://schemas.openxmlformats.org/spreadsheetml/2006/main">
  <connection id="1" name="temp11" type="6" refreshedVersion="3" background="1" saveData="1">
    <textPr codePage="10006" sourceFile="D:\CRTC - Documents\temp.txt">
      <textFields count="4">
        <textField/>
        <textField/>
        <textField/>
        <textField/>
      </textFields>
    </textPr>
  </connection>
  <connection id="2" name="temp12" type="6" refreshedVersion="3" background="1" saveData="1">
    <textPr codePage="10006" sourceFile="D:\CRTC - Documents\temp.txt">
      <textFields count="4"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<sst xmlns="http://schemas.openxmlformats.org/spreadsheetml/2006/main" count="326" uniqueCount="160">
  <si>
    <t>S.I.</t>
  </si>
  <si>
    <t>Student ID</t>
  </si>
  <si>
    <t>Student's Name</t>
  </si>
  <si>
    <t>Father's Name</t>
  </si>
  <si>
    <t>Mother's Name</t>
  </si>
  <si>
    <t>Md.Firuj Sarkar</t>
  </si>
  <si>
    <t>Rokeya Begum</t>
  </si>
  <si>
    <t>S.M. Jasim Uddin</t>
  </si>
  <si>
    <t>SK. Abdul Malek</t>
  </si>
  <si>
    <t>Mouludara Begum</t>
  </si>
  <si>
    <t>Bidyut Jyoti Chakrabarty</t>
  </si>
  <si>
    <t>Beni Madhab Chakrabarty</t>
  </si>
  <si>
    <t>Gita Rani Chakrabarty</t>
  </si>
  <si>
    <t>Md. Shamsuzzaman</t>
  </si>
  <si>
    <t>Late Forman Ali</t>
  </si>
  <si>
    <t>Hamida Begum</t>
  </si>
  <si>
    <t>Md.Azad Miah</t>
  </si>
  <si>
    <t>Md. Ali Akbar</t>
  </si>
  <si>
    <t>Minara Begum</t>
  </si>
  <si>
    <t>Md. Osman Goni</t>
  </si>
  <si>
    <t>Md. Azgor Ali</t>
  </si>
  <si>
    <t>Hameda Begum</t>
  </si>
  <si>
    <t>S.M. Muakherul Islam</t>
  </si>
  <si>
    <t>S.M. Ali Abu Rayhan</t>
  </si>
  <si>
    <t>Ayesha Rayhan</t>
  </si>
  <si>
    <t>Md.Habib-Al-Islam Miah</t>
  </si>
  <si>
    <t>Md.Shahanoor Islam Miah</t>
  </si>
  <si>
    <t>Sayeda Hena Islam</t>
  </si>
  <si>
    <t>Kazi Jahurul Islam</t>
  </si>
  <si>
    <t>Kazi Md. Jalil</t>
  </si>
  <si>
    <t>Shahanaz Parvin</t>
  </si>
  <si>
    <t>Md.Juber Rahman</t>
  </si>
  <si>
    <t>Md. Mujibur Rahman</t>
  </si>
  <si>
    <t>Hasna Begum</t>
  </si>
  <si>
    <t>Md.Emdadur Rahman</t>
  </si>
  <si>
    <t>Md. Abdul Goffer</t>
  </si>
  <si>
    <t>Most. Sakera Begum</t>
  </si>
  <si>
    <t>Niranjan Chandra Bhowmik</t>
  </si>
  <si>
    <t>Sukumar Chandra Bhowmik</t>
  </si>
  <si>
    <t>Khelon Rani</t>
  </si>
  <si>
    <t>Tanwir Osman Ahsan</t>
  </si>
  <si>
    <t>Muhammad Habibul Ahsan</t>
  </si>
  <si>
    <t>Rabeya Akhter Banu Chowdhury</t>
  </si>
  <si>
    <t>Muzaddid Ahammad</t>
  </si>
  <si>
    <t>Md. Kachan Miah</t>
  </si>
  <si>
    <t>Mst. Rahima Begum</t>
  </si>
  <si>
    <t>Kazi Mohshin Shiraz</t>
  </si>
  <si>
    <t>Kazi Kamor Uddin</t>
  </si>
  <si>
    <t>Kazi Rabeya Khatun</t>
  </si>
  <si>
    <t>Mitun Chandra Das</t>
  </si>
  <si>
    <t>Mrittunjoy Das</t>
  </si>
  <si>
    <t>Kalpana Rani Das</t>
  </si>
  <si>
    <t>Saikat Das</t>
  </si>
  <si>
    <t>Jogesh Chandra Das</t>
  </si>
  <si>
    <t>Ajita Rani Das</t>
  </si>
  <si>
    <t>Shams- E-Adath</t>
  </si>
  <si>
    <t>Md. Shahadath Hossain</t>
  </si>
  <si>
    <t>Nazma Hossain</t>
  </si>
  <si>
    <t>Suvasish Chowdhury</t>
  </si>
  <si>
    <t>Late Sudindra Chowdhury</t>
  </si>
  <si>
    <t>Rani Chowdhury</t>
  </si>
  <si>
    <t>Palash Chandra Das</t>
  </si>
  <si>
    <t>Basudeb Das</t>
  </si>
  <si>
    <t>Shanti Bala Das</t>
  </si>
  <si>
    <t>S.M. Mohsin Reza</t>
  </si>
  <si>
    <t>S.M. Abdus Salam</t>
  </si>
  <si>
    <t>Maksuda Salam</t>
  </si>
  <si>
    <t>Md. Ashrafuzzaman</t>
  </si>
  <si>
    <t>Md. Habibur Rahman Matubber</t>
  </si>
  <si>
    <t>Manju Ara Rahmanh</t>
  </si>
  <si>
    <t>Muhammad Tayyibur Rahman</t>
  </si>
  <si>
    <t>Muhammad As-Adullah</t>
  </si>
  <si>
    <t>Shamsun Nessa</t>
  </si>
  <si>
    <t>Sabit Sarwar Nadhvee</t>
  </si>
  <si>
    <t>Md. Shah Alam Mollah</t>
  </si>
  <si>
    <t>Khujista Arwat</t>
  </si>
  <si>
    <t>Chayan Kumer Sarker</t>
  </si>
  <si>
    <t>Sachin Chandra Sarker</t>
  </si>
  <si>
    <t>Rani Sarker</t>
  </si>
  <si>
    <t>Md. Haris Ali</t>
  </si>
  <si>
    <t>Md. Mona Ullah</t>
  </si>
  <si>
    <t>Khoyrun Nesa</t>
  </si>
  <si>
    <t xml:space="preserve">Md. Sadrul Alam </t>
  </si>
  <si>
    <t>Md. Ataur Rahman</t>
  </si>
  <si>
    <t>Mrs. Rase Kahtun</t>
  </si>
  <si>
    <t>Mohammad Asif Arefin</t>
  </si>
  <si>
    <t>Md. Abdul Malek</t>
  </si>
  <si>
    <t>Azizun Nessa</t>
  </si>
  <si>
    <t>Mohammad Shahidur Rahman</t>
  </si>
  <si>
    <t>Hafiz Mujibur Rahman</t>
  </si>
  <si>
    <t>Mrs. Shamsun Nahar</t>
  </si>
  <si>
    <t>Swity Sultana Monni</t>
  </si>
  <si>
    <t xml:space="preserve">Saleh Ahmed </t>
  </si>
  <si>
    <t>Course ID</t>
  </si>
  <si>
    <t>Course Title</t>
  </si>
  <si>
    <t>Class/Hour</t>
  </si>
  <si>
    <t>Credit</t>
  </si>
  <si>
    <t>Total Credits</t>
  </si>
  <si>
    <t>Total Credit</t>
  </si>
  <si>
    <t>Total GPA</t>
  </si>
  <si>
    <t>Letter Grade</t>
  </si>
  <si>
    <t>TT (20)</t>
  </si>
  <si>
    <t>Final (70)</t>
  </si>
  <si>
    <t>Attendence (33)</t>
  </si>
  <si>
    <t>Total</t>
  </si>
  <si>
    <t>GPA</t>
  </si>
  <si>
    <t>Assigned Teacher</t>
  </si>
  <si>
    <t>Code</t>
  </si>
  <si>
    <t>Designation and Department</t>
  </si>
  <si>
    <t>Sabir Ismail</t>
  </si>
  <si>
    <t>SI</t>
  </si>
  <si>
    <t>Sayma Sultana Chowdhury</t>
  </si>
  <si>
    <t>SSC</t>
  </si>
  <si>
    <t>Md Saiful Islam</t>
  </si>
  <si>
    <t>MSI</t>
  </si>
  <si>
    <t>Asif Mohammed Samir</t>
  </si>
  <si>
    <t>AMS</t>
  </si>
  <si>
    <t>Sheikh Nabil Mohammad</t>
  </si>
  <si>
    <t>SNM</t>
  </si>
  <si>
    <t>Biswa Prio Chakrabarty</t>
  </si>
  <si>
    <t>BPC</t>
  </si>
  <si>
    <t>Serial</t>
  </si>
  <si>
    <t>33*2</t>
  </si>
  <si>
    <t>1st Semester</t>
  </si>
  <si>
    <t>2nd Semester</t>
  </si>
  <si>
    <t>3rd Semester</t>
  </si>
  <si>
    <t>Cumulative</t>
  </si>
  <si>
    <t>CGPA</t>
  </si>
  <si>
    <t>Grade</t>
  </si>
  <si>
    <t>Remarks</t>
  </si>
  <si>
    <t>Semester</t>
  </si>
  <si>
    <t>Md.Arif Sarkar Bhuiya</t>
  </si>
  <si>
    <t>Introduction to Literature</t>
  </si>
  <si>
    <t>History of English Literature</t>
  </si>
  <si>
    <t>Elizabethan and Jacobean Poetry</t>
  </si>
  <si>
    <t>American Drama</t>
  </si>
  <si>
    <t>Introduction to Western Philosophy</t>
  </si>
  <si>
    <t>Semiotics</t>
  </si>
  <si>
    <t>British Novel</t>
  </si>
  <si>
    <t>ENG-111</t>
  </si>
  <si>
    <t>ENG-113</t>
  </si>
  <si>
    <t>ENG-115</t>
  </si>
  <si>
    <t>ENG-117</t>
  </si>
  <si>
    <t>ENG-211</t>
  </si>
  <si>
    <t>ENG-213</t>
  </si>
  <si>
    <t>ENG-215</t>
  </si>
  <si>
    <t>ENG-217</t>
  </si>
  <si>
    <t>ENG-311</t>
  </si>
  <si>
    <t>ENG-315</t>
  </si>
  <si>
    <t>ENG-313</t>
  </si>
  <si>
    <t>ENG-300</t>
  </si>
  <si>
    <t>Lecturer, ENG Department</t>
  </si>
  <si>
    <t>Shahjalal Uiversity of Science and Technology, Sylhet</t>
  </si>
  <si>
    <t>Department of English</t>
  </si>
  <si>
    <t>Session 2011-12</t>
  </si>
  <si>
    <t>Poetry Course</t>
  </si>
  <si>
    <t>Essay Writing</t>
  </si>
  <si>
    <t>British Fiction</t>
  </si>
  <si>
    <t>Irish Drama</t>
  </si>
  <si>
    <t>Monograph and Viva Voce</t>
  </si>
</sst>
</file>

<file path=xl/styles.xml><?xml version="1.0" encoding="utf-8"?>
<styleSheet xmlns="http://schemas.openxmlformats.org/spreadsheetml/2006/main">
  <numFmts count="1">
    <numFmt numFmtId="164" formatCode="0.0"/>
  </numFmts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0"/>
      <color theme="1"/>
      <name val="Times New Roman"/>
      <family val="1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5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8" fillId="0" borderId="0" xfId="0" applyFont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0" xfId="0" applyFont="1" applyAlignment="1">
      <alignment horizontal="right"/>
    </xf>
    <xf numFmtId="164" fontId="8" fillId="0" borderId="1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9" fillId="0" borderId="8" xfId="0" applyFont="1" applyBorder="1"/>
    <xf numFmtId="0" fontId="8" fillId="0" borderId="8" xfId="0" applyFont="1" applyBorder="1"/>
    <xf numFmtId="0" fontId="8" fillId="0" borderId="8" xfId="0" applyFont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1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1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temp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zoomScale="80" zoomScaleNormal="80" workbookViewId="0">
      <selection activeCell="P4" sqref="P4"/>
    </sheetView>
  </sheetViews>
  <sheetFormatPr defaultRowHeight="14.25"/>
  <cols>
    <col min="1" max="1" width="15.25" style="14" customWidth="1"/>
    <col min="2" max="2" width="28.625" style="13" customWidth="1"/>
    <col min="3" max="3" width="13.875" style="14" customWidth="1"/>
    <col min="4" max="4" width="11.375" customWidth="1"/>
    <col min="5" max="6" width="13.375" customWidth="1"/>
    <col min="7" max="7" width="10.875" customWidth="1"/>
    <col min="8" max="9" width="13.125" customWidth="1"/>
    <col min="10" max="10" width="11.625" customWidth="1"/>
    <col min="11" max="11" width="13.125" customWidth="1"/>
    <col min="15" max="15" width="23" style="14" customWidth="1"/>
    <col min="260" max="260" width="15.25" customWidth="1"/>
    <col min="516" max="516" width="15.25" customWidth="1"/>
    <col min="772" max="772" width="15.25" customWidth="1"/>
    <col min="1028" max="1028" width="15.25" customWidth="1"/>
    <col min="1284" max="1284" width="15.25" customWidth="1"/>
    <col min="1540" max="1540" width="15.25" customWidth="1"/>
    <col min="1796" max="1796" width="15.25" customWidth="1"/>
    <col min="2052" max="2052" width="15.25" customWidth="1"/>
    <col min="2308" max="2308" width="15.25" customWidth="1"/>
    <col min="2564" max="2564" width="15.25" customWidth="1"/>
    <col min="2820" max="2820" width="15.25" customWidth="1"/>
    <col min="3076" max="3076" width="15.25" customWidth="1"/>
    <col min="3332" max="3332" width="15.25" customWidth="1"/>
    <col min="3588" max="3588" width="15.25" customWidth="1"/>
    <col min="3844" max="3844" width="15.25" customWidth="1"/>
    <col min="4100" max="4100" width="15.25" customWidth="1"/>
    <col min="4356" max="4356" width="15.25" customWidth="1"/>
    <col min="4612" max="4612" width="15.25" customWidth="1"/>
    <col min="4868" max="4868" width="15.25" customWidth="1"/>
    <col min="5124" max="5124" width="15.25" customWidth="1"/>
    <col min="5380" max="5380" width="15.25" customWidth="1"/>
    <col min="5636" max="5636" width="15.25" customWidth="1"/>
    <col min="5892" max="5892" width="15.25" customWidth="1"/>
    <col min="6148" max="6148" width="15.25" customWidth="1"/>
    <col min="6404" max="6404" width="15.25" customWidth="1"/>
    <col min="6660" max="6660" width="15.25" customWidth="1"/>
    <col min="6916" max="6916" width="15.25" customWidth="1"/>
    <col min="7172" max="7172" width="15.25" customWidth="1"/>
    <col min="7428" max="7428" width="15.25" customWidth="1"/>
    <col min="7684" max="7684" width="15.25" customWidth="1"/>
    <col min="7940" max="7940" width="15.25" customWidth="1"/>
    <col min="8196" max="8196" width="15.25" customWidth="1"/>
    <col min="8452" max="8452" width="15.25" customWidth="1"/>
    <col min="8708" max="8708" width="15.25" customWidth="1"/>
    <col min="8964" max="8964" width="15.25" customWidth="1"/>
    <col min="9220" max="9220" width="15.25" customWidth="1"/>
    <col min="9476" max="9476" width="15.25" customWidth="1"/>
    <col min="9732" max="9732" width="15.25" customWidth="1"/>
    <col min="9988" max="9988" width="15.25" customWidth="1"/>
    <col min="10244" max="10244" width="15.25" customWidth="1"/>
    <col min="10500" max="10500" width="15.25" customWidth="1"/>
    <col min="10756" max="10756" width="15.25" customWidth="1"/>
    <col min="11012" max="11012" width="15.25" customWidth="1"/>
    <col min="11268" max="11268" width="15.25" customWidth="1"/>
    <col min="11524" max="11524" width="15.25" customWidth="1"/>
    <col min="11780" max="11780" width="15.25" customWidth="1"/>
    <col min="12036" max="12036" width="15.25" customWidth="1"/>
    <col min="12292" max="12292" width="15.25" customWidth="1"/>
    <col min="12548" max="12548" width="15.25" customWidth="1"/>
    <col min="12804" max="12804" width="15.25" customWidth="1"/>
    <col min="13060" max="13060" width="15.25" customWidth="1"/>
    <col min="13316" max="13316" width="15.25" customWidth="1"/>
    <col min="13572" max="13572" width="15.25" customWidth="1"/>
    <col min="13828" max="13828" width="15.25" customWidth="1"/>
    <col min="14084" max="14084" width="15.25" customWidth="1"/>
    <col min="14340" max="14340" width="15.25" customWidth="1"/>
    <col min="14596" max="14596" width="15.25" customWidth="1"/>
    <col min="14852" max="14852" width="15.25" customWidth="1"/>
    <col min="15108" max="15108" width="15.25" customWidth="1"/>
    <col min="15364" max="15364" width="15.25" customWidth="1"/>
    <col min="15620" max="15620" width="15.25" customWidth="1"/>
    <col min="15876" max="15876" width="15.25" customWidth="1"/>
    <col min="16132" max="16132" width="15.25" customWidth="1"/>
  </cols>
  <sheetData>
    <row r="1" spans="1:15" ht="30" customHeight="1">
      <c r="A1" s="57" t="s">
        <v>152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 spans="1:15" ht="20.25">
      <c r="A2" s="56" t="s">
        <v>153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</row>
    <row r="3" spans="1:15" ht="20.25">
      <c r="A3" s="56" t="s">
        <v>154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</row>
    <row r="4" spans="1:15">
      <c r="C4" s="54" t="s">
        <v>123</v>
      </c>
      <c r="D4" s="54"/>
      <c r="E4" s="54"/>
      <c r="F4" s="54" t="s">
        <v>124</v>
      </c>
      <c r="G4" s="54"/>
      <c r="H4" s="54"/>
      <c r="I4" s="54" t="s">
        <v>125</v>
      </c>
      <c r="J4" s="54"/>
      <c r="K4" s="54"/>
      <c r="L4" s="54" t="s">
        <v>126</v>
      </c>
      <c r="M4" s="54"/>
      <c r="N4" s="54"/>
      <c r="O4" s="55" t="s">
        <v>129</v>
      </c>
    </row>
    <row r="5" spans="1:15"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5"/>
    </row>
    <row r="6" spans="1:15"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5"/>
    </row>
    <row r="7" spans="1:15" ht="15">
      <c r="A7" s="16" t="str" cm="1">
        <f t="array" ref="A7:A37">StudentList!B1:B31</f>
        <v>Student ID</v>
      </c>
      <c r="B7" s="17" t="str" cm="1">
        <f t="array" ref="B7:B37">StudentList!C1:C31</f>
        <v>Student's Name</v>
      </c>
      <c r="C7" s="17" t="s">
        <v>98</v>
      </c>
      <c r="D7" s="17" t="s">
        <v>99</v>
      </c>
      <c r="E7" s="17" t="s">
        <v>100</v>
      </c>
      <c r="F7" s="17" t="s">
        <v>98</v>
      </c>
      <c r="G7" s="17" t="s">
        <v>99</v>
      </c>
      <c r="H7" s="17" t="s">
        <v>100</v>
      </c>
      <c r="I7" s="17" t="s">
        <v>98</v>
      </c>
      <c r="J7" s="17" t="s">
        <v>99</v>
      </c>
      <c r="K7" s="17" t="s">
        <v>100</v>
      </c>
      <c r="L7" s="17" t="s">
        <v>96</v>
      </c>
      <c r="M7" s="17" t="s">
        <v>127</v>
      </c>
      <c r="N7" s="17" t="s">
        <v>128</v>
      </c>
      <c r="O7" s="55"/>
    </row>
    <row r="8" spans="1:15">
      <c r="A8" s="14">
        <v>2011236001</v>
      </c>
      <c r="B8" s="13" t="str">
        <v>Md.Arif Sarkar Bhuiya</v>
      </c>
      <c r="C8" s="14" cm="1">
        <f t="array" ref="C8:C37">'1st Semester'!AI3:AI32</f>
        <v>12</v>
      </c>
      <c r="D8" s="14" cm="1">
        <f t="array" ref="D8:D37">'1st Semester'!AJ3:AJ32</f>
        <v>4</v>
      </c>
      <c r="E8" s="14" t="str">
        <f>LOOKUP(D8,{0,2,2.25,2.5,2.75,3,3.25,3.5,3.75,4},{"F","C-","C","C+","B-","B","B+","A-","A","A+"})</f>
        <v>A+</v>
      </c>
      <c r="F8" s="14" cm="1">
        <f t="array" ref="F8:F37">'2nd Semester'!AI3:AI32</f>
        <v>13</v>
      </c>
      <c r="G8" s="14" cm="1">
        <f t="array" ref="G8:G37">'2nd Semester'!AJ3:AJ32</f>
        <v>4</v>
      </c>
      <c r="H8" s="14" t="str">
        <f>LOOKUP(G8,{0,2,2.25,2.5,2.75,3,3.25,3.5,3.75,4},{"F","C-","C","C+","B-","B","B+","A-","A","A+"})</f>
        <v>A+</v>
      </c>
      <c r="I8" s="14" cm="1">
        <f t="array" ref="I8:I37">'3rd Semester'!AI3:AI32</f>
        <v>11</v>
      </c>
      <c r="J8" s="14" cm="1">
        <f t="array" ref="J8:J37">'3rd Semester'!AJ3:AJ32</f>
        <v>4</v>
      </c>
      <c r="K8" s="14" t="str">
        <f>LOOKUP(J8,{0,2,2.25,2.5,2.75,3,3.25,3.5,3.75,4},{"F","C-","C","C+","B-","B","B+","A-","A","A+"})</f>
        <v>A+</v>
      </c>
      <c r="L8" s="14">
        <f>SUM(C8,F8,I8)</f>
        <v>36</v>
      </c>
      <c r="M8" s="14">
        <f>ROUND(SUM(PRODUCT(C8,D8),PRODUCT(F8,G8),PRODUCT(I8,J8))/L8,2)</f>
        <v>4</v>
      </c>
      <c r="N8" s="14" t="str">
        <f>LOOKUP(M8,{0,2,2.25,2.5,2.75,3,3.25,3.5,3.75,4},{"F","C-","C","C+","B-","B","B+","A-","A","A+"})</f>
        <v>A+</v>
      </c>
      <c r="O8" s="14" t="str">
        <f>LOOKUP(M8,{0,2,2.25,2.5,2.75,3,3.25,3.5,3.75,4},{"Failed","Passed","Passed","Passed","Passed","Passed","Passed","Passed","Passed with  Distinction","Passed with Distinction"})</f>
        <v>Passed with Distinction</v>
      </c>
    </row>
    <row r="9" spans="1:15">
      <c r="A9" s="14">
        <v>2011236002</v>
      </c>
      <c r="B9" s="13" t="str">
        <v>S.M. Jasim Uddin</v>
      </c>
      <c r="C9" s="14">
        <v>12</v>
      </c>
      <c r="D9" s="14">
        <v>3.29</v>
      </c>
      <c r="E9" s="14" t="str">
        <f>LOOKUP(D9,{0,2,2.25,2.5,2.75,3,3.25,3.5,3.75,4},{"F","C-","C","C+","B-","B","B+","A-","A","A+"})</f>
        <v>B+</v>
      </c>
      <c r="F9" s="14">
        <v>13</v>
      </c>
      <c r="G9" s="14">
        <v>3.75</v>
      </c>
      <c r="H9" s="14" t="str">
        <f>LOOKUP(G9,{0,2,2.25,2.5,2.75,3,3.25,3.5,3.75,4},{"F","C-","C","C+","B-","B","B+","A-","A","A+"})</f>
        <v>A</v>
      </c>
      <c r="I9" s="14">
        <v>11</v>
      </c>
      <c r="J9" s="14">
        <v>3.64</v>
      </c>
      <c r="K9" s="14" t="str">
        <f>LOOKUP(J9,{0,2,2.25,2.5,2.75,3,3.25,3.5,3.75,4},{"F","C-","C","C+","B-","B","B+","A-","A","A+"})</f>
        <v>A-</v>
      </c>
      <c r="L9" s="14">
        <f t="shared" ref="L9:L37" si="0">SUM(C9,F9,I9)</f>
        <v>36</v>
      </c>
      <c r="M9" s="14">
        <f t="shared" ref="M9:M37" si="1">ROUND(SUM(PRODUCT(C9,D9),PRODUCT(F9,G9),PRODUCT(I9,J9))/L9,2)</f>
        <v>3.56</v>
      </c>
      <c r="N9" s="14" t="str">
        <f>LOOKUP(M9,{0,2,2.25,2.5,2.75,3,3.25,3.5,3.75,4},{"F","C-","C","C+","B-","B","B+","A-","A","A+"})</f>
        <v>A-</v>
      </c>
      <c r="O9" s="14" t="str">
        <f>LOOKUP(M9,{0,2,2.25,2.5,2.75,3,3.25,3.5,3.75,4},{"Failed","Passed","Passed","Passed","Passed","Passed","Passed","Passed","Passed with  Distinction","Passed with Distinction"})</f>
        <v>Passed</v>
      </c>
    </row>
    <row r="10" spans="1:15">
      <c r="A10" s="14">
        <v>2011236003</v>
      </c>
      <c r="B10" s="13" t="str">
        <v>Bidyut Jyoti Chakrabarty</v>
      </c>
      <c r="C10" s="14">
        <v>12</v>
      </c>
      <c r="D10" s="14">
        <v>3.88</v>
      </c>
      <c r="E10" s="14" t="str">
        <f>LOOKUP(D10,{0,2,2.25,2.5,2.75,3,3.25,3.5,3.75,4},{"F","C-","C","C+","B-","B","B+","A-","A","A+"})</f>
        <v>A</v>
      </c>
      <c r="F10" s="14">
        <v>13</v>
      </c>
      <c r="G10" s="14">
        <v>3.73</v>
      </c>
      <c r="H10" s="14" t="str">
        <f>LOOKUP(G10,{0,2,2.25,2.5,2.75,3,3.25,3.5,3.75,4},{"F","C-","C","C+","B-","B","B+","A-","A","A+"})</f>
        <v>A-</v>
      </c>
      <c r="I10" s="14">
        <v>11</v>
      </c>
      <c r="J10" s="14">
        <v>3.93</v>
      </c>
      <c r="K10" s="14" t="str">
        <f>LOOKUP(J10,{0,2,2.25,2.5,2.75,3,3.25,3.5,3.75,4},{"F","C-","C","C+","B-","B","B+","A-","A","A+"})</f>
        <v>A</v>
      </c>
      <c r="L10" s="14">
        <f t="shared" si="0"/>
        <v>36</v>
      </c>
      <c r="M10" s="14">
        <f t="shared" si="1"/>
        <v>3.84</v>
      </c>
      <c r="N10" s="14" t="str">
        <f>LOOKUP(M10,{0,2,2.25,2.5,2.75,3,3.25,3.5,3.75,4},{"F","C-","C","C+","B-","B","B+","A-","A","A+"})</f>
        <v>A</v>
      </c>
      <c r="O10" s="14" t="str">
        <f>LOOKUP(M10,{0,2,2.25,2.5,2.75,3,3.25,3.5,3.75,4},{"Failed","Passed","Passed","Passed","Passed","Passed","Passed","Passed","Passed with  Distinction","Passed with Distinction"})</f>
        <v>Passed with  Distinction</v>
      </c>
    </row>
    <row r="11" spans="1:15">
      <c r="A11" s="14">
        <v>2011236004</v>
      </c>
      <c r="B11" s="13" t="str">
        <v>Md. Shamsuzzaman</v>
      </c>
      <c r="C11" s="14">
        <v>12</v>
      </c>
      <c r="D11" s="14">
        <v>3.85</v>
      </c>
      <c r="E11" s="14" t="str">
        <f>LOOKUP(D11,{0,2,2.25,2.5,2.75,3,3.25,3.5,3.75,4},{"F","C-","C","C+","B-","B","B+","A-","A","A+"})</f>
        <v>A</v>
      </c>
      <c r="F11" s="14">
        <v>13</v>
      </c>
      <c r="G11" s="14">
        <v>3.77</v>
      </c>
      <c r="H11" s="14" t="str">
        <f>LOOKUP(G11,{0,2,2.25,2.5,2.75,3,3.25,3.5,3.75,4},{"F","C-","C","C+","B-","B","B+","A-","A","A+"})</f>
        <v>A</v>
      </c>
      <c r="I11" s="14">
        <v>11</v>
      </c>
      <c r="J11" s="14">
        <v>3.84</v>
      </c>
      <c r="K11" s="14" t="str">
        <f>LOOKUP(J11,{0,2,2.25,2.5,2.75,3,3.25,3.5,3.75,4},{"F","C-","C","C+","B-","B","B+","A-","A","A+"})</f>
        <v>A</v>
      </c>
      <c r="L11" s="14">
        <f t="shared" si="0"/>
        <v>36</v>
      </c>
      <c r="M11" s="14">
        <f t="shared" si="1"/>
        <v>3.82</v>
      </c>
      <c r="N11" s="14" t="str">
        <f>LOOKUP(M11,{0,2,2.25,2.5,2.75,3,3.25,3.5,3.75,4},{"F","C-","C","C+","B-","B","B+","A-","A","A+"})</f>
        <v>A</v>
      </c>
      <c r="O11" s="14" t="str">
        <f>LOOKUP(M11,{0,2,2.25,2.5,2.75,3,3.25,3.5,3.75,4},{"Failed","Passed","Passed","Passed","Passed","Passed","Passed","Passed","Passed with  Distinction","Passed with Distinction"})</f>
        <v>Passed with  Distinction</v>
      </c>
    </row>
    <row r="12" spans="1:15">
      <c r="A12" s="14">
        <v>2011236005</v>
      </c>
      <c r="B12" s="13" t="str">
        <v>Md.Azad Miah</v>
      </c>
      <c r="C12" s="14">
        <v>12</v>
      </c>
      <c r="D12" s="14">
        <v>3.92</v>
      </c>
      <c r="E12" s="14" t="str">
        <f>LOOKUP(D12,{0,2,2.25,2.5,2.75,3,3.25,3.5,3.75,4},{"F","C-","C","C+","B-","B","B+","A-","A","A+"})</f>
        <v>A</v>
      </c>
      <c r="F12" s="14">
        <v>13</v>
      </c>
      <c r="G12" s="14">
        <v>3.6</v>
      </c>
      <c r="H12" s="14" t="str">
        <f>LOOKUP(G12,{0,2,2.25,2.5,2.75,3,3.25,3.5,3.75,4},{"F","C-","C","C+","B-","B","B+","A-","A","A+"})</f>
        <v>A-</v>
      </c>
      <c r="I12" s="14">
        <v>11</v>
      </c>
      <c r="J12" s="14">
        <v>3.5</v>
      </c>
      <c r="K12" s="14" t="str">
        <f>LOOKUP(J12,{0,2,2.25,2.5,2.75,3,3.25,3.5,3.75,4},{"F","C-","C","C+","B-","B","B+","A-","A","A+"})</f>
        <v>A-</v>
      </c>
      <c r="L12" s="14">
        <f t="shared" si="0"/>
        <v>36</v>
      </c>
      <c r="M12" s="14">
        <f t="shared" si="1"/>
        <v>3.68</v>
      </c>
      <c r="N12" s="14" t="str">
        <f>LOOKUP(M12,{0,2,2.25,2.5,2.75,3,3.25,3.5,3.75,4},{"F","C-","C","C+","B-","B","B+","A-","A","A+"})</f>
        <v>A-</v>
      </c>
      <c r="O12" s="14" t="str">
        <f>LOOKUP(M12,{0,2,2.25,2.5,2.75,3,3.25,3.5,3.75,4},{"Failed","Passed","Passed","Passed","Passed","Passed","Passed","Passed","Passed with  Distinction","Passed with Distinction"})</f>
        <v>Passed</v>
      </c>
    </row>
    <row r="13" spans="1:15">
      <c r="A13" s="14">
        <v>2011236006</v>
      </c>
      <c r="B13" s="13" t="str">
        <v>Md. Osman Goni</v>
      </c>
      <c r="C13" s="14">
        <v>12</v>
      </c>
      <c r="D13" s="14">
        <v>4</v>
      </c>
      <c r="E13" s="14" t="str">
        <f>LOOKUP(D13,{0,2,2.25,2.5,2.75,3,3.25,3.5,3.75,4},{"F","C-","C","C+","B-","B","B+","A-","A","A+"})</f>
        <v>A+</v>
      </c>
      <c r="F13" s="14">
        <v>13</v>
      </c>
      <c r="G13" s="14">
        <v>3.85</v>
      </c>
      <c r="H13" s="14" t="str">
        <f>LOOKUP(G13,{0,2,2.25,2.5,2.75,3,3.25,3.5,3.75,4},{"F","C-","C","C+","B-","B","B+","A-","A","A+"})</f>
        <v>A</v>
      </c>
      <c r="I13" s="14">
        <v>11</v>
      </c>
      <c r="J13" s="14">
        <v>3.95</v>
      </c>
      <c r="K13" s="14" t="str">
        <f>LOOKUP(J13,{0,2,2.25,2.5,2.75,3,3.25,3.5,3.75,4},{"F","C-","C","C+","B-","B","B+","A-","A","A+"})</f>
        <v>A</v>
      </c>
      <c r="L13" s="14">
        <f t="shared" si="0"/>
        <v>36</v>
      </c>
      <c r="M13" s="14">
        <f t="shared" si="1"/>
        <v>3.93</v>
      </c>
      <c r="N13" s="14" t="str">
        <f>LOOKUP(M13,{0,2,2.25,2.5,2.75,3,3.25,3.5,3.75,4},{"F","C-","C","C+","B-","B","B+","A-","A","A+"})</f>
        <v>A</v>
      </c>
      <c r="O13" s="14" t="str">
        <f>LOOKUP(M13,{0,2,2.25,2.5,2.75,3,3.25,3.5,3.75,4},{"Failed","Passed","Passed","Passed","Passed","Passed","Passed","Passed","Passed with  Distinction","Passed with Distinction"})</f>
        <v>Passed with  Distinction</v>
      </c>
    </row>
    <row r="14" spans="1:15">
      <c r="A14" s="14">
        <v>2011236007</v>
      </c>
      <c r="B14" s="13" t="str">
        <v>S.M. Muakherul Islam</v>
      </c>
      <c r="C14" s="14">
        <v>12</v>
      </c>
      <c r="D14" s="14">
        <v>3.75</v>
      </c>
      <c r="E14" s="14" t="str">
        <f>LOOKUP(D14,{0,2,2.25,2.5,2.75,3,3.25,3.5,3.75,4},{"F","C-","C","C+","B-","B","B+","A-","A","A+"})</f>
        <v>A</v>
      </c>
      <c r="F14" s="14">
        <v>13</v>
      </c>
      <c r="G14" s="14">
        <v>3.81</v>
      </c>
      <c r="H14" s="14" t="str">
        <f>LOOKUP(G14,{0,2,2.25,2.5,2.75,3,3.25,3.5,3.75,4},{"F","C-","C","C+","B-","B","B+","A-","A","A+"})</f>
        <v>A</v>
      </c>
      <c r="I14" s="14">
        <v>11</v>
      </c>
      <c r="J14" s="14">
        <v>3.45</v>
      </c>
      <c r="K14" s="14" t="str">
        <f>LOOKUP(J14,{0,2,2.25,2.5,2.75,3,3.25,3.5,3.75,4},{"F","C-","C","C+","B-","B","B+","A-","A","A+"})</f>
        <v>B+</v>
      </c>
      <c r="L14" s="14">
        <f t="shared" si="0"/>
        <v>36</v>
      </c>
      <c r="M14" s="14">
        <f t="shared" si="1"/>
        <v>3.68</v>
      </c>
      <c r="N14" s="14" t="str">
        <f>LOOKUP(M14,{0,2,2.25,2.5,2.75,3,3.25,3.5,3.75,4},{"F","C-","C","C+","B-","B","B+","A-","A","A+"})</f>
        <v>A-</v>
      </c>
      <c r="O14" s="14" t="str">
        <f>LOOKUP(M14,{0,2,2.25,2.5,2.75,3,3.25,3.5,3.75,4},{"Failed","Passed","Passed","Passed","Passed","Passed","Passed","Passed","Passed with  Distinction","Passed with Distinction"})</f>
        <v>Passed</v>
      </c>
    </row>
    <row r="15" spans="1:15">
      <c r="A15" s="14">
        <v>2011236008</v>
      </c>
      <c r="B15" s="13" t="str">
        <v>Md.Habib-Al-Islam Miah</v>
      </c>
      <c r="C15" s="14">
        <v>12</v>
      </c>
      <c r="D15" s="14">
        <v>3.67</v>
      </c>
      <c r="E15" s="14" t="str">
        <f>LOOKUP(D15,{0,2,2.25,2.5,2.75,3,3.25,3.5,3.75,4},{"F","C-","C","C+","B-","B","B+","A-","A","A+"})</f>
        <v>A-</v>
      </c>
      <c r="F15" s="14">
        <v>13</v>
      </c>
      <c r="G15" s="14">
        <v>3.77</v>
      </c>
      <c r="H15" s="14" t="str">
        <f>LOOKUP(G15,{0,2,2.25,2.5,2.75,3,3.25,3.5,3.75,4},{"F","C-","C","C+","B-","B","B+","A-","A","A+"})</f>
        <v>A</v>
      </c>
      <c r="I15" s="14">
        <v>11</v>
      </c>
      <c r="J15" s="14">
        <v>3.86</v>
      </c>
      <c r="K15" s="14" t="str">
        <f>LOOKUP(J15,{0,2,2.25,2.5,2.75,3,3.25,3.5,3.75,4},{"F","C-","C","C+","B-","B","B+","A-","A","A+"})</f>
        <v>A</v>
      </c>
      <c r="L15" s="14">
        <f t="shared" si="0"/>
        <v>36</v>
      </c>
      <c r="M15" s="14">
        <f t="shared" si="1"/>
        <v>3.76</v>
      </c>
      <c r="N15" s="14" t="str">
        <f>LOOKUP(M15,{0,2,2.25,2.5,2.75,3,3.25,3.5,3.75,4},{"F","C-","C","C+","B-","B","B+","A-","A","A+"})</f>
        <v>A</v>
      </c>
      <c r="O15" s="14" t="str">
        <f>LOOKUP(M15,{0,2,2.25,2.5,2.75,3,3.25,3.5,3.75,4},{"Failed","Passed","Passed","Passed","Passed","Passed","Passed","Passed","Passed with  Distinction","Passed with Distinction"})</f>
        <v>Passed with  Distinction</v>
      </c>
    </row>
    <row r="16" spans="1:15">
      <c r="A16" s="14">
        <v>2011236009</v>
      </c>
      <c r="B16" s="13" t="str">
        <v>Kazi Jahurul Islam</v>
      </c>
      <c r="C16" s="14">
        <v>12</v>
      </c>
      <c r="D16" s="14">
        <v>3.69</v>
      </c>
      <c r="E16" s="14" t="str">
        <f>LOOKUP(D16,{0,2,2.25,2.5,2.75,3,3.25,3.5,3.75,4},{"F","C-","C","C+","B-","B","B+","A-","A","A+"})</f>
        <v>A-</v>
      </c>
      <c r="F16" s="14">
        <v>13</v>
      </c>
      <c r="G16" s="14">
        <v>3.46</v>
      </c>
      <c r="H16" s="14" t="str">
        <f>LOOKUP(G16,{0,2,2.25,2.5,2.75,3,3.25,3.5,3.75,4},{"F","C-","C","C+","B-","B","B+","A-","A","A+"})</f>
        <v>B+</v>
      </c>
      <c r="I16" s="14">
        <v>11</v>
      </c>
      <c r="J16" s="14">
        <v>3.68</v>
      </c>
      <c r="K16" s="14" t="str">
        <f>LOOKUP(J16,{0,2,2.25,2.5,2.75,3,3.25,3.5,3.75,4},{"F","C-","C","C+","B-","B","B+","A-","A","A+"})</f>
        <v>A-</v>
      </c>
      <c r="L16" s="14">
        <f t="shared" si="0"/>
        <v>36</v>
      </c>
      <c r="M16" s="14">
        <f t="shared" si="1"/>
        <v>3.6</v>
      </c>
      <c r="N16" s="14" t="str">
        <f>LOOKUP(M16,{0,2,2.25,2.5,2.75,3,3.25,3.5,3.75,4},{"F","C-","C","C+","B-","B","B+","A-","A","A+"})</f>
        <v>A-</v>
      </c>
      <c r="O16" s="14" t="str">
        <f>LOOKUP(M16,{0,2,2.25,2.5,2.75,3,3.25,3.5,3.75,4},{"Failed","Passed","Passed","Passed","Passed","Passed","Passed","Passed","Passed with  Distinction","Passed with Distinction"})</f>
        <v>Passed</v>
      </c>
    </row>
    <row r="17" spans="1:15">
      <c r="A17" s="14">
        <v>2011236010</v>
      </c>
      <c r="B17" s="13" t="str">
        <v>Md.Juber Rahman</v>
      </c>
      <c r="C17" s="14">
        <v>12</v>
      </c>
      <c r="D17" s="14">
        <v>4</v>
      </c>
      <c r="E17" s="14" t="str">
        <f>LOOKUP(D17,{0,2,2.25,2.5,2.75,3,3.25,3.5,3.75,4},{"F","C-","C","C+","B-","B","B+","A-","A","A+"})</f>
        <v>A+</v>
      </c>
      <c r="F17" s="14">
        <v>13</v>
      </c>
      <c r="G17" s="14">
        <v>3.54</v>
      </c>
      <c r="H17" s="14" t="str">
        <f>LOOKUP(G17,{0,2,2.25,2.5,2.75,3,3.25,3.5,3.75,4},{"F","C-","C","C+","B-","B","B+","A-","A","A+"})</f>
        <v>A-</v>
      </c>
      <c r="I17" s="14">
        <v>11</v>
      </c>
      <c r="J17" s="14">
        <v>3.27</v>
      </c>
      <c r="K17" s="14" t="str">
        <f>LOOKUP(J17,{0,2,2.25,2.5,2.75,3,3.25,3.5,3.75,4},{"F","C-","C","C+","B-","B","B+","A-","A","A+"})</f>
        <v>B+</v>
      </c>
      <c r="L17" s="14">
        <f t="shared" si="0"/>
        <v>36</v>
      </c>
      <c r="M17" s="14">
        <f t="shared" si="1"/>
        <v>3.61</v>
      </c>
      <c r="N17" s="14" t="str">
        <f>LOOKUP(M17,{0,2,2.25,2.5,2.75,3,3.25,3.5,3.75,4},{"F","C-","C","C+","B-","B","B+","A-","A","A+"})</f>
        <v>A-</v>
      </c>
      <c r="O17" s="14" t="str">
        <f>LOOKUP(M17,{0,2,2.25,2.5,2.75,3,3.25,3.5,3.75,4},{"Failed","Passed","Passed","Passed","Passed","Passed","Passed","Passed","Passed with  Distinction","Passed with Distinction"})</f>
        <v>Passed</v>
      </c>
    </row>
    <row r="18" spans="1:15">
      <c r="A18" s="14">
        <v>2011236011</v>
      </c>
      <c r="B18" s="13" t="str">
        <v>Md.Emdadur Rahman</v>
      </c>
      <c r="C18" s="14">
        <v>12</v>
      </c>
      <c r="D18" s="14">
        <v>4</v>
      </c>
      <c r="E18" s="14" t="str">
        <f>LOOKUP(D18,{0,2,2.25,2.5,2.75,3,3.25,3.5,3.75,4},{"F","C-","C","C+","B-","B","B+","A-","A","A+"})</f>
        <v>A+</v>
      </c>
      <c r="F18" s="14">
        <v>13</v>
      </c>
      <c r="G18" s="14">
        <v>3.85</v>
      </c>
      <c r="H18" s="14" t="str">
        <f>LOOKUP(G18,{0,2,2.25,2.5,2.75,3,3.25,3.5,3.75,4},{"F","C-","C","C+","B-","B","B+","A-","A","A+"})</f>
        <v>A</v>
      </c>
      <c r="I18" s="14">
        <v>11</v>
      </c>
      <c r="J18" s="14">
        <v>3.77</v>
      </c>
      <c r="K18" s="14" t="str">
        <f>LOOKUP(J18,{0,2,2.25,2.5,2.75,3,3.25,3.5,3.75,4},{"F","C-","C","C+","B-","B","B+","A-","A","A+"})</f>
        <v>A</v>
      </c>
      <c r="L18" s="14">
        <f t="shared" si="0"/>
        <v>36</v>
      </c>
      <c r="M18" s="14">
        <f t="shared" si="1"/>
        <v>3.88</v>
      </c>
      <c r="N18" s="14" t="str">
        <f>LOOKUP(M18,{0,2,2.25,2.5,2.75,3,3.25,3.5,3.75,4},{"F","C-","C","C+","B-","B","B+","A-","A","A+"})</f>
        <v>A</v>
      </c>
      <c r="O18" s="14" t="str">
        <f>LOOKUP(M18,{0,2,2.25,2.5,2.75,3,3.25,3.5,3.75,4},{"Failed","Passed","Passed","Passed","Passed","Passed","Passed","Passed","Passed with  Distinction","Passed with Distinction"})</f>
        <v>Passed with  Distinction</v>
      </c>
    </row>
    <row r="19" spans="1:15">
      <c r="A19" s="14">
        <v>2011236012</v>
      </c>
      <c r="B19" s="13" t="str">
        <v>Niranjan Chandra Bhowmik</v>
      </c>
      <c r="C19" s="14">
        <v>12</v>
      </c>
      <c r="D19" s="14">
        <v>4</v>
      </c>
      <c r="E19" s="14" t="str">
        <f>LOOKUP(D19,{0,2,2.25,2.5,2.75,3,3.25,3.5,3.75,4},{"F","C-","C","C+","B-","B","B+","A-","A","A+"})</f>
        <v>A+</v>
      </c>
      <c r="F19" s="14">
        <v>13</v>
      </c>
      <c r="G19" s="14">
        <v>4</v>
      </c>
      <c r="H19" s="14" t="str">
        <f>LOOKUP(G19,{0,2,2.25,2.5,2.75,3,3.25,3.5,3.75,4},{"F","C-","C","C+","B-","B","B+","A-","A","A+"})</f>
        <v>A+</v>
      </c>
      <c r="I19" s="14">
        <v>11</v>
      </c>
      <c r="J19" s="14">
        <v>4</v>
      </c>
      <c r="K19" s="14" t="str">
        <f>LOOKUP(J19,{0,2,2.25,2.5,2.75,3,3.25,3.5,3.75,4},{"F","C-","C","C+","B-","B","B+","A-","A","A+"})</f>
        <v>A+</v>
      </c>
      <c r="L19" s="14">
        <f t="shared" si="0"/>
        <v>36</v>
      </c>
      <c r="M19" s="14">
        <f t="shared" si="1"/>
        <v>4</v>
      </c>
      <c r="N19" s="14" t="str">
        <f>LOOKUP(M19,{0,2,2.25,2.5,2.75,3,3.25,3.5,3.75,4},{"F","C-","C","C+","B-","B","B+","A-","A","A+"})</f>
        <v>A+</v>
      </c>
      <c r="O19" s="14" t="str">
        <f>LOOKUP(M19,{0,2,2.25,2.5,2.75,3,3.25,3.5,3.75,4},{"Failed","Passed","Passed","Passed","Passed","Passed","Passed","Passed","Passed with  Distinction","Passed with Distinction"})</f>
        <v>Passed with Distinction</v>
      </c>
    </row>
    <row r="20" spans="1:15">
      <c r="A20" s="14">
        <v>2011236013</v>
      </c>
      <c r="B20" s="13" t="str">
        <v>Tanwir Osman Ahsan</v>
      </c>
      <c r="C20" s="14">
        <v>12</v>
      </c>
      <c r="D20" s="14">
        <v>4</v>
      </c>
      <c r="E20" s="14" t="str">
        <f>LOOKUP(D20,{0,2,2.25,2.5,2.75,3,3.25,3.5,3.75,4},{"F","C-","C","C+","B-","B","B+","A-","A","A+"})</f>
        <v>A+</v>
      </c>
      <c r="F20" s="14">
        <v>13</v>
      </c>
      <c r="G20" s="14">
        <v>3.83</v>
      </c>
      <c r="H20" s="14" t="str">
        <f>LOOKUP(G20,{0,2,2.25,2.5,2.75,3,3.25,3.5,3.75,4},{"F","C-","C","C+","B-","B","B+","A-","A","A+"})</f>
        <v>A</v>
      </c>
      <c r="I20" s="14">
        <v>11</v>
      </c>
      <c r="J20" s="14">
        <v>3.77</v>
      </c>
      <c r="K20" s="14" t="str">
        <f>LOOKUP(J20,{0,2,2.25,2.5,2.75,3,3.25,3.5,3.75,4},{"F","C-","C","C+","B-","B","B+","A-","A","A+"})</f>
        <v>A</v>
      </c>
      <c r="L20" s="14">
        <f t="shared" si="0"/>
        <v>36</v>
      </c>
      <c r="M20" s="14">
        <f t="shared" si="1"/>
        <v>3.87</v>
      </c>
      <c r="N20" s="14" t="str">
        <f>LOOKUP(M20,{0,2,2.25,2.5,2.75,3,3.25,3.5,3.75,4},{"F","C-","C","C+","B-","B","B+","A-","A","A+"})</f>
        <v>A</v>
      </c>
      <c r="O20" s="14" t="str">
        <f>LOOKUP(M20,{0,2,2.25,2.5,2.75,3,3.25,3.5,3.75,4},{"Failed","Passed","Passed","Passed","Passed","Passed","Passed","Passed","Passed with  Distinction","Passed with Distinction"})</f>
        <v>Passed with  Distinction</v>
      </c>
    </row>
    <row r="21" spans="1:15">
      <c r="A21" s="14">
        <v>2011236014</v>
      </c>
      <c r="B21" s="13" t="str">
        <v>Muzaddid Ahammad</v>
      </c>
      <c r="C21" s="14">
        <v>12</v>
      </c>
      <c r="D21" s="14">
        <v>3.52</v>
      </c>
      <c r="E21" s="14" t="str">
        <f>LOOKUP(D21,{0,2,2.25,2.5,2.75,3,3.25,3.5,3.75,4},{"F","C-","C","C+","B-","B","B+","A-","A","A+"})</f>
        <v>A-</v>
      </c>
      <c r="F21" s="14">
        <v>13</v>
      </c>
      <c r="G21" s="14">
        <v>3.85</v>
      </c>
      <c r="H21" s="14" t="str">
        <f>LOOKUP(G21,{0,2,2.25,2.5,2.75,3,3.25,3.5,3.75,4},{"F","C-","C","C+","B-","B","B+","A-","A","A+"})</f>
        <v>A</v>
      </c>
      <c r="I21" s="14">
        <v>11</v>
      </c>
      <c r="J21" s="14">
        <v>3.45</v>
      </c>
      <c r="K21" s="14" t="str">
        <f>LOOKUP(J21,{0,2,2.25,2.5,2.75,3,3.25,3.5,3.75,4},{"F","C-","C","C+","B-","B","B+","A-","A","A+"})</f>
        <v>B+</v>
      </c>
      <c r="L21" s="14">
        <f t="shared" si="0"/>
        <v>36</v>
      </c>
      <c r="M21" s="14">
        <f t="shared" si="1"/>
        <v>3.62</v>
      </c>
      <c r="N21" s="14" t="str">
        <f>LOOKUP(M21,{0,2,2.25,2.5,2.75,3,3.25,3.5,3.75,4},{"F","C-","C","C+","B-","B","B+","A-","A","A+"})</f>
        <v>A-</v>
      </c>
      <c r="O21" s="14" t="str">
        <f>LOOKUP(M21,{0,2,2.25,2.5,2.75,3,3.25,3.5,3.75,4},{"Failed","Passed","Passed","Passed","Passed","Passed","Passed","Passed","Passed with  Distinction","Passed with Distinction"})</f>
        <v>Passed</v>
      </c>
    </row>
    <row r="22" spans="1:15">
      <c r="A22" s="14">
        <v>2011236015</v>
      </c>
      <c r="B22" s="13" t="str">
        <v>Kazi Mohshin Shiraz</v>
      </c>
      <c r="C22" s="14">
        <v>12</v>
      </c>
      <c r="D22" s="14">
        <v>4</v>
      </c>
      <c r="E22" s="14" t="str">
        <f>LOOKUP(D22,{0,2,2.25,2.5,2.75,3,3.25,3.5,3.75,4},{"F","C-","C","C+","B-","B","B+","A-","A","A+"})</f>
        <v>A+</v>
      </c>
      <c r="F22" s="14">
        <v>13</v>
      </c>
      <c r="G22" s="14">
        <v>3.83</v>
      </c>
      <c r="H22" s="14" t="str">
        <f>LOOKUP(G22,{0,2,2.25,2.5,2.75,3,3.25,3.5,3.75,4},{"F","C-","C","C+","B-","B","B+","A-","A","A+"})</f>
        <v>A</v>
      </c>
      <c r="I22" s="14">
        <v>11</v>
      </c>
      <c r="J22" s="14">
        <v>3.5</v>
      </c>
      <c r="K22" s="14" t="str">
        <f>LOOKUP(J22,{0,2,2.25,2.5,2.75,3,3.25,3.5,3.75,4},{"F","C-","C","C+","B-","B","B+","A-","A","A+"})</f>
        <v>A-</v>
      </c>
      <c r="L22" s="14">
        <f t="shared" si="0"/>
        <v>36</v>
      </c>
      <c r="M22" s="14">
        <f t="shared" si="1"/>
        <v>3.79</v>
      </c>
      <c r="N22" s="14" t="str">
        <f>LOOKUP(M22,{0,2,2.25,2.5,2.75,3,3.25,3.5,3.75,4},{"F","C-","C","C+","B-","B","B+","A-","A","A+"})</f>
        <v>A</v>
      </c>
      <c r="O22" s="14" t="str">
        <f>LOOKUP(M22,{0,2,2.25,2.5,2.75,3,3.25,3.5,3.75,4},{"Failed","Passed","Passed","Passed","Passed","Passed","Passed","Passed","Passed with  Distinction","Passed with Distinction"})</f>
        <v>Passed with  Distinction</v>
      </c>
    </row>
    <row r="23" spans="1:15">
      <c r="A23" s="14">
        <v>2011236016</v>
      </c>
      <c r="B23" s="13" t="str">
        <v>Mitun Chandra Das</v>
      </c>
      <c r="C23" s="14">
        <v>12</v>
      </c>
      <c r="D23" s="14">
        <v>3.38</v>
      </c>
      <c r="E23" s="14" t="str">
        <f>LOOKUP(D23,{0,2,2.25,2.5,2.75,3,3.25,3.5,3.75,4},{"F","C-","C","C+","B-","B","B+","A-","A","A+"})</f>
        <v>B+</v>
      </c>
      <c r="F23" s="14">
        <v>13</v>
      </c>
      <c r="G23" s="14">
        <v>3.77</v>
      </c>
      <c r="H23" s="14" t="str">
        <f>LOOKUP(G23,{0,2,2.25,2.5,2.75,3,3.25,3.5,3.75,4},{"F","C-","C","C+","B-","B","B+","A-","A","A+"})</f>
        <v>A</v>
      </c>
      <c r="I23" s="14">
        <v>11</v>
      </c>
      <c r="J23" s="14">
        <v>3.7</v>
      </c>
      <c r="K23" s="14" t="str">
        <f>LOOKUP(J23,{0,2,2.25,2.5,2.75,3,3.25,3.5,3.75,4},{"F","C-","C","C+","B-","B","B+","A-","A","A+"})</f>
        <v>A-</v>
      </c>
      <c r="L23" s="14">
        <f t="shared" si="0"/>
        <v>36</v>
      </c>
      <c r="M23" s="14">
        <f t="shared" si="1"/>
        <v>3.62</v>
      </c>
      <c r="N23" s="14" t="str">
        <f>LOOKUP(M23,{0,2,2.25,2.5,2.75,3,3.25,3.5,3.75,4},{"F","C-","C","C+","B-","B","B+","A-","A","A+"})</f>
        <v>A-</v>
      </c>
      <c r="O23" s="14" t="str">
        <f>LOOKUP(M23,{0,2,2.25,2.5,2.75,3,3.25,3.5,3.75,4},{"Failed","Passed","Passed","Passed","Passed","Passed","Passed","Passed","Passed with  Distinction","Passed with Distinction"})</f>
        <v>Passed</v>
      </c>
    </row>
    <row r="24" spans="1:15">
      <c r="A24" s="14">
        <v>2011236017</v>
      </c>
      <c r="B24" s="13" t="str">
        <v>Saikat Das</v>
      </c>
      <c r="C24" s="14">
        <v>12</v>
      </c>
      <c r="D24" s="14">
        <v>3.96</v>
      </c>
      <c r="E24" s="14" t="str">
        <f>LOOKUP(D24,{0,2,2.25,2.5,2.75,3,3.25,3.5,3.75,4},{"F","C-","C","C+","B-","B","B+","A-","A","A+"})</f>
        <v>A</v>
      </c>
      <c r="F24" s="14">
        <v>13</v>
      </c>
      <c r="G24" s="14">
        <v>3.75</v>
      </c>
      <c r="H24" s="14" t="str">
        <f>LOOKUP(G24,{0,2,2.25,2.5,2.75,3,3.25,3.5,3.75,4},{"F","C-","C","C+","B-","B","B+","A-","A","A+"})</f>
        <v>A</v>
      </c>
      <c r="I24" s="14">
        <v>11</v>
      </c>
      <c r="J24" s="14">
        <v>3.91</v>
      </c>
      <c r="K24" s="14" t="str">
        <f>LOOKUP(J24,{0,2,2.25,2.5,2.75,3,3.25,3.5,3.75,4},{"F","C-","C","C+","B-","B","B+","A-","A","A+"})</f>
        <v>A</v>
      </c>
      <c r="L24" s="14">
        <f t="shared" si="0"/>
        <v>36</v>
      </c>
      <c r="M24" s="14">
        <f t="shared" si="1"/>
        <v>3.87</v>
      </c>
      <c r="N24" s="14" t="str">
        <f>LOOKUP(M24,{0,2,2.25,2.5,2.75,3,3.25,3.5,3.75,4},{"F","C-","C","C+","B-","B","B+","A-","A","A+"})</f>
        <v>A</v>
      </c>
      <c r="O24" s="14" t="str">
        <f>LOOKUP(M24,{0,2,2.25,2.5,2.75,3,3.25,3.5,3.75,4},{"Failed","Passed","Passed","Passed","Passed","Passed","Passed","Passed","Passed with  Distinction","Passed with Distinction"})</f>
        <v>Passed with  Distinction</v>
      </c>
    </row>
    <row r="25" spans="1:15">
      <c r="A25" s="14">
        <v>2011236018</v>
      </c>
      <c r="B25" s="13" t="str">
        <v>Shams- E-Adath</v>
      </c>
      <c r="C25" s="14">
        <v>12</v>
      </c>
      <c r="D25" s="14">
        <v>3.81</v>
      </c>
      <c r="E25" s="14" t="str">
        <f>LOOKUP(D25,{0,2,2.25,2.5,2.75,3,3.25,3.5,3.75,4},{"F","C-","C","C+","B-","B","B+","A-","A","A+"})</f>
        <v>A</v>
      </c>
      <c r="F25" s="14">
        <v>13</v>
      </c>
      <c r="G25" s="14">
        <v>3.46</v>
      </c>
      <c r="H25" s="14" t="str">
        <f>LOOKUP(G25,{0,2,2.25,2.5,2.75,3,3.25,3.5,3.75,4},{"F","C-","C","C+","B-","B","B+","A-","A","A+"})</f>
        <v>B+</v>
      </c>
      <c r="I25" s="14">
        <v>11</v>
      </c>
      <c r="J25" s="14">
        <v>3.61</v>
      </c>
      <c r="K25" s="14" t="str">
        <f>LOOKUP(J25,{0,2,2.25,2.5,2.75,3,3.25,3.5,3.75,4},{"F","C-","C","C+","B-","B","B+","A-","A","A+"})</f>
        <v>A-</v>
      </c>
      <c r="L25" s="14">
        <f t="shared" si="0"/>
        <v>36</v>
      </c>
      <c r="M25" s="14">
        <f t="shared" si="1"/>
        <v>3.62</v>
      </c>
      <c r="N25" s="14" t="str">
        <f>LOOKUP(M25,{0,2,2.25,2.5,2.75,3,3.25,3.5,3.75,4},{"F","C-","C","C+","B-","B","B+","A-","A","A+"})</f>
        <v>A-</v>
      </c>
      <c r="O25" s="14" t="str">
        <f>LOOKUP(M25,{0,2,2.25,2.5,2.75,3,3.25,3.5,3.75,4},{"Failed","Passed","Passed","Passed","Passed","Passed","Passed","Passed","Passed with  Distinction","Passed with Distinction"})</f>
        <v>Passed</v>
      </c>
    </row>
    <row r="26" spans="1:15">
      <c r="A26" s="14">
        <v>2011236019</v>
      </c>
      <c r="B26" s="13" t="str">
        <v>Suvasish Chowdhury</v>
      </c>
      <c r="C26" s="14">
        <v>12</v>
      </c>
      <c r="D26" s="14">
        <v>3.94</v>
      </c>
      <c r="E26" s="14" t="str">
        <f>LOOKUP(D26,{0,2,2.25,2.5,2.75,3,3.25,3.5,3.75,4},{"F","C-","C","C+","B-","B","B+","A-","A","A+"})</f>
        <v>A</v>
      </c>
      <c r="F26" s="14">
        <v>13</v>
      </c>
      <c r="G26" s="14">
        <v>3.6</v>
      </c>
      <c r="H26" s="14" t="str">
        <f>LOOKUP(G26,{0,2,2.25,2.5,2.75,3,3.25,3.5,3.75,4},{"F","C-","C","C+","B-","B","B+","A-","A","A+"})</f>
        <v>A-</v>
      </c>
      <c r="I26" s="14">
        <v>11</v>
      </c>
      <c r="J26" s="14">
        <v>3.82</v>
      </c>
      <c r="K26" s="14" t="str">
        <f>LOOKUP(J26,{0,2,2.25,2.5,2.75,3,3.25,3.5,3.75,4},{"F","C-","C","C+","B-","B","B+","A-","A","A+"})</f>
        <v>A</v>
      </c>
      <c r="L26" s="14">
        <f t="shared" si="0"/>
        <v>36</v>
      </c>
      <c r="M26" s="14">
        <f t="shared" si="1"/>
        <v>3.78</v>
      </c>
      <c r="N26" s="14" t="str">
        <f>LOOKUP(M26,{0,2,2.25,2.5,2.75,3,3.25,3.5,3.75,4},{"F","C-","C","C+","B-","B","B+","A-","A","A+"})</f>
        <v>A</v>
      </c>
      <c r="O26" s="14" t="str">
        <f>LOOKUP(M26,{0,2,2.25,2.5,2.75,3,3.25,3.5,3.75,4},{"Failed","Passed","Passed","Passed","Passed","Passed","Passed","Passed","Passed with  Distinction","Passed with Distinction"})</f>
        <v>Passed with  Distinction</v>
      </c>
    </row>
    <row r="27" spans="1:15">
      <c r="A27" s="14">
        <v>2011236020</v>
      </c>
      <c r="B27" s="13" t="str">
        <v>Palash Chandra Das</v>
      </c>
      <c r="C27" s="14">
        <v>12</v>
      </c>
      <c r="D27" s="14">
        <v>3.83</v>
      </c>
      <c r="E27" s="14" t="str">
        <f>LOOKUP(D27,{0,2,2.25,2.5,2.75,3,3.25,3.5,3.75,4},{"F","C-","C","C+","B-","B","B+","A-","A","A+"})</f>
        <v>A</v>
      </c>
      <c r="F27" s="14">
        <v>13</v>
      </c>
      <c r="G27" s="14">
        <v>3.77</v>
      </c>
      <c r="H27" s="14" t="str">
        <f>LOOKUP(G27,{0,2,2.25,2.5,2.75,3,3.25,3.5,3.75,4},{"F","C-","C","C+","B-","B","B+","A-","A","A+"})</f>
        <v>A</v>
      </c>
      <c r="I27" s="14">
        <v>11</v>
      </c>
      <c r="J27" s="14">
        <v>3.82</v>
      </c>
      <c r="K27" s="14" t="str">
        <f>LOOKUP(J27,{0,2,2.25,2.5,2.75,3,3.25,3.5,3.75,4},{"F","C-","C","C+","B-","B","B+","A-","A","A+"})</f>
        <v>A</v>
      </c>
      <c r="L27" s="14">
        <f t="shared" si="0"/>
        <v>36</v>
      </c>
      <c r="M27" s="14">
        <f t="shared" si="1"/>
        <v>3.81</v>
      </c>
      <c r="N27" s="14" t="str">
        <f>LOOKUP(M27,{0,2,2.25,2.5,2.75,3,3.25,3.5,3.75,4},{"F","C-","C","C+","B-","B","B+","A-","A","A+"})</f>
        <v>A</v>
      </c>
      <c r="O27" s="14" t="str">
        <f>LOOKUP(M27,{0,2,2.25,2.5,2.75,3,3.25,3.5,3.75,4},{"Failed","Passed","Passed","Passed","Passed","Passed","Passed","Passed","Passed with  Distinction","Passed with Distinction"})</f>
        <v>Passed with  Distinction</v>
      </c>
    </row>
    <row r="28" spans="1:15">
      <c r="A28" s="14">
        <v>2011236021</v>
      </c>
      <c r="B28" s="13" t="str">
        <v>S.M. Mohsin Reza</v>
      </c>
      <c r="C28" s="14">
        <v>12</v>
      </c>
      <c r="D28" s="14">
        <v>3.46</v>
      </c>
      <c r="E28" s="14" t="str">
        <f>LOOKUP(D28,{0,2,2.25,2.5,2.75,3,3.25,3.5,3.75,4},{"F","C-","C","C+","B-","B","B+","A-","A","A+"})</f>
        <v>B+</v>
      </c>
      <c r="F28" s="14">
        <v>13</v>
      </c>
      <c r="G28" s="14">
        <v>3.37</v>
      </c>
      <c r="H28" s="14" t="str">
        <f>LOOKUP(G28,{0,2,2.25,2.5,2.75,3,3.25,3.5,3.75,4},{"F","C-","C","C+","B-","B","B+","A-","A","A+"})</f>
        <v>B+</v>
      </c>
      <c r="I28" s="14">
        <v>11</v>
      </c>
      <c r="J28" s="14">
        <v>3.59</v>
      </c>
      <c r="K28" s="14" t="str">
        <f>LOOKUP(J28,{0,2,2.25,2.5,2.75,3,3.25,3.5,3.75,4},{"F","C-","C","C+","B-","B","B+","A-","A","A+"})</f>
        <v>A-</v>
      </c>
      <c r="L28" s="14">
        <f t="shared" si="0"/>
        <v>36</v>
      </c>
      <c r="M28" s="14">
        <f t="shared" si="1"/>
        <v>3.47</v>
      </c>
      <c r="N28" s="14" t="str">
        <f>LOOKUP(M28,{0,2,2.25,2.5,2.75,3,3.25,3.5,3.75,4},{"F","C-","C","C+","B-","B","B+","A-","A","A+"})</f>
        <v>B+</v>
      </c>
      <c r="O28" s="14" t="str">
        <f>LOOKUP(M28,{0,2,2.25,2.5,2.75,3,3.25,3.5,3.75,4},{"Failed","Passed","Passed","Passed","Passed","Passed","Passed","Passed","Passed with  Distinction","Passed with Distinction"})</f>
        <v>Passed</v>
      </c>
    </row>
    <row r="29" spans="1:15">
      <c r="A29" s="14">
        <v>2011236022</v>
      </c>
      <c r="B29" s="13" t="str">
        <v>Md. Ashrafuzzaman</v>
      </c>
      <c r="C29" s="14">
        <v>12</v>
      </c>
      <c r="D29" s="14">
        <v>3.96</v>
      </c>
      <c r="E29" s="14" t="str">
        <f>LOOKUP(D29,{0,2,2.25,2.5,2.75,3,3.25,3.5,3.75,4},{"F","C-","C","C+","B-","B","B+","A-","A","A+"})</f>
        <v>A</v>
      </c>
      <c r="F29" s="14">
        <v>13</v>
      </c>
      <c r="G29" s="14">
        <v>3.17</v>
      </c>
      <c r="H29" s="14" t="str">
        <f>LOOKUP(G29,{0,2,2.25,2.5,2.75,3,3.25,3.5,3.75,4},{"F","C-","C","C+","B-","B","B+","A-","A","A+"})</f>
        <v>B</v>
      </c>
      <c r="I29" s="14">
        <v>11</v>
      </c>
      <c r="J29" s="14">
        <v>3.64</v>
      </c>
      <c r="K29" s="14" t="str">
        <f>LOOKUP(J29,{0,2,2.25,2.5,2.75,3,3.25,3.5,3.75,4},{"F","C-","C","C+","B-","B","B+","A-","A","A+"})</f>
        <v>A-</v>
      </c>
      <c r="L29" s="14">
        <f t="shared" si="0"/>
        <v>36</v>
      </c>
      <c r="M29" s="14">
        <f t="shared" si="1"/>
        <v>3.58</v>
      </c>
      <c r="N29" s="14" t="str">
        <f>LOOKUP(M29,{0,2,2.25,2.5,2.75,3,3.25,3.5,3.75,4},{"F","C-","C","C+","B-","B","B+","A-","A","A+"})</f>
        <v>A-</v>
      </c>
      <c r="O29" s="14" t="str">
        <f>LOOKUP(M29,{0,2,2.25,2.5,2.75,3,3.25,3.5,3.75,4},{"Failed","Passed","Passed","Passed","Passed","Passed","Passed","Passed","Passed with  Distinction","Passed with Distinction"})</f>
        <v>Passed</v>
      </c>
    </row>
    <row r="30" spans="1:15">
      <c r="A30" s="14">
        <v>2011236023</v>
      </c>
      <c r="B30" s="13" t="str">
        <v>Muhammad Tayyibur Rahman</v>
      </c>
      <c r="C30" s="14">
        <v>12</v>
      </c>
      <c r="D30" s="14">
        <v>3.46</v>
      </c>
      <c r="E30" s="14" t="str">
        <f>LOOKUP(D30,{0,2,2.25,2.5,2.75,3,3.25,3.5,3.75,4},{"F","C-","C","C+","B-","B","B+","A-","A","A+"})</f>
        <v>B+</v>
      </c>
      <c r="F30" s="14">
        <v>13</v>
      </c>
      <c r="G30" s="14">
        <v>3.67</v>
      </c>
      <c r="H30" s="14" t="str">
        <f>LOOKUP(G30,{0,2,2.25,2.5,2.75,3,3.25,3.5,3.75,4},{"F","C-","C","C+","B-","B","B+","A-","A","A+"})</f>
        <v>A-</v>
      </c>
      <c r="I30" s="14">
        <v>11</v>
      </c>
      <c r="J30" s="14">
        <v>3.34</v>
      </c>
      <c r="K30" s="14" t="str">
        <f>LOOKUP(J30,{0,2,2.25,2.5,2.75,3,3.25,3.5,3.75,4},{"F","C-","C","C+","B-","B","B+","A-","A","A+"})</f>
        <v>B+</v>
      </c>
      <c r="L30" s="14">
        <f t="shared" si="0"/>
        <v>36</v>
      </c>
      <c r="M30" s="14">
        <f t="shared" si="1"/>
        <v>3.5</v>
      </c>
      <c r="N30" s="14" t="str">
        <f>LOOKUP(M30,{0,2,2.25,2.5,2.75,3,3.25,3.5,3.75,4},{"F","C-","C","C+","B-","B","B+","A-","A","A+"})</f>
        <v>A-</v>
      </c>
      <c r="O30" s="14" t="str">
        <f>LOOKUP(M30,{0,2,2.25,2.5,2.75,3,3.25,3.5,3.75,4},{"Failed","Passed","Passed","Passed","Passed","Passed","Passed","Passed","Passed with  Distinction","Passed with Distinction"})</f>
        <v>Passed</v>
      </c>
    </row>
    <row r="31" spans="1:15">
      <c r="A31" s="14">
        <v>2011236024</v>
      </c>
      <c r="B31" s="13" t="str">
        <v>Sabit Sarwar Nadhvee</v>
      </c>
      <c r="C31" s="14">
        <v>12</v>
      </c>
      <c r="D31" s="14">
        <v>4</v>
      </c>
      <c r="E31" s="14" t="str">
        <f>LOOKUP(D31,{0,2,2.25,2.5,2.75,3,3.25,3.5,3.75,4},{"F","C-","C","C+","B-","B","B+","A-","A","A+"})</f>
        <v>A+</v>
      </c>
      <c r="F31" s="14">
        <v>13</v>
      </c>
      <c r="G31" s="14">
        <v>3.75</v>
      </c>
      <c r="H31" s="14" t="str">
        <f>LOOKUP(G31,{0,2,2.25,2.5,2.75,3,3.25,3.5,3.75,4},{"F","C-","C","C+","B-","B","B+","A-","A","A+"})</f>
        <v>A</v>
      </c>
      <c r="I31" s="14">
        <v>11</v>
      </c>
      <c r="J31" s="14">
        <v>3.82</v>
      </c>
      <c r="K31" s="14" t="str">
        <f>LOOKUP(J31,{0,2,2.25,2.5,2.75,3,3.25,3.5,3.75,4},{"F","C-","C","C+","B-","B","B+","A-","A","A+"})</f>
        <v>A</v>
      </c>
      <c r="L31" s="14">
        <f t="shared" si="0"/>
        <v>36</v>
      </c>
      <c r="M31" s="14">
        <f t="shared" si="1"/>
        <v>3.85</v>
      </c>
      <c r="N31" s="14" t="str">
        <f>LOOKUP(M31,{0,2,2.25,2.5,2.75,3,3.25,3.5,3.75,4},{"F","C-","C","C+","B-","B","B+","A-","A","A+"})</f>
        <v>A</v>
      </c>
      <c r="O31" s="14" t="str">
        <f>LOOKUP(M31,{0,2,2.25,2.5,2.75,3,3.25,3.5,3.75,4},{"Failed","Passed","Passed","Passed","Passed","Passed","Passed","Passed","Passed with  Distinction","Passed with Distinction"})</f>
        <v>Passed with  Distinction</v>
      </c>
    </row>
    <row r="32" spans="1:15">
      <c r="A32" s="14">
        <v>2011236025</v>
      </c>
      <c r="B32" s="13" t="str">
        <v>Chayan Kumer Sarker</v>
      </c>
      <c r="C32" s="14">
        <v>12</v>
      </c>
      <c r="D32" s="14">
        <v>3.85</v>
      </c>
      <c r="E32" s="14" t="str">
        <f>LOOKUP(D32,{0,2,2.25,2.5,2.75,3,3.25,3.5,3.75,4},{"F","C-","C","C+","B-","B","B+","A-","A","A+"})</f>
        <v>A</v>
      </c>
      <c r="F32" s="14">
        <v>13</v>
      </c>
      <c r="G32" s="14">
        <v>3.77</v>
      </c>
      <c r="H32" s="14" t="str">
        <f>LOOKUP(G32,{0,2,2.25,2.5,2.75,3,3.25,3.5,3.75,4},{"F","C-","C","C+","B-","B","B+","A-","A","A+"})</f>
        <v>A</v>
      </c>
      <c r="I32" s="14">
        <v>11</v>
      </c>
      <c r="J32" s="14">
        <v>3.73</v>
      </c>
      <c r="K32" s="14" t="str">
        <f>LOOKUP(J32,{0,2,2.25,2.5,2.75,3,3.25,3.5,3.75,4},{"F","C-","C","C+","B-","B","B+","A-","A","A+"})</f>
        <v>A-</v>
      </c>
      <c r="L32" s="14">
        <f t="shared" si="0"/>
        <v>36</v>
      </c>
      <c r="M32" s="14">
        <f t="shared" si="1"/>
        <v>3.78</v>
      </c>
      <c r="N32" s="14" t="str">
        <f>LOOKUP(M32,{0,2,2.25,2.5,2.75,3,3.25,3.5,3.75,4},{"F","C-","C","C+","B-","B","B+","A-","A","A+"})</f>
        <v>A</v>
      </c>
      <c r="O32" s="14" t="str">
        <f>LOOKUP(M32,{0,2,2.25,2.5,2.75,3,3.25,3.5,3.75,4},{"Failed","Passed","Passed","Passed","Passed","Passed","Passed","Passed","Passed with  Distinction","Passed with Distinction"})</f>
        <v>Passed with  Distinction</v>
      </c>
    </row>
    <row r="33" spans="1:15">
      <c r="A33" s="14">
        <v>2011236026</v>
      </c>
      <c r="B33" s="13" t="str">
        <v>Md. Haris Ali</v>
      </c>
      <c r="C33" s="14">
        <v>12</v>
      </c>
      <c r="D33" s="14">
        <v>3.44</v>
      </c>
      <c r="E33" s="14" t="str">
        <f>LOOKUP(D33,{0,2,2.25,2.5,2.75,3,3.25,3.5,3.75,4},{"F","C-","C","C+","B-","B","B+","A-","A","A+"})</f>
        <v>B+</v>
      </c>
      <c r="F33" s="14">
        <v>13</v>
      </c>
      <c r="G33" s="14">
        <v>3.69</v>
      </c>
      <c r="H33" s="14" t="str">
        <f>LOOKUP(G33,{0,2,2.25,2.5,2.75,3,3.25,3.5,3.75,4},{"F","C-","C","C+","B-","B","B+","A-","A","A+"})</f>
        <v>A-</v>
      </c>
      <c r="I33" s="14">
        <v>11</v>
      </c>
      <c r="J33" s="14">
        <v>3.84</v>
      </c>
      <c r="K33" s="14" t="str">
        <f>LOOKUP(J33,{0,2,2.25,2.5,2.75,3,3.25,3.5,3.75,4},{"F","C-","C","C+","B-","B","B+","A-","A","A+"})</f>
        <v>A</v>
      </c>
      <c r="L33" s="14">
        <f t="shared" si="0"/>
        <v>36</v>
      </c>
      <c r="M33" s="14">
        <f t="shared" si="1"/>
        <v>3.65</v>
      </c>
      <c r="N33" s="14" t="str">
        <f>LOOKUP(M33,{0,2,2.25,2.5,2.75,3,3.25,3.5,3.75,4},{"F","C-","C","C+","B-","B","B+","A-","A","A+"})</f>
        <v>A-</v>
      </c>
      <c r="O33" s="14" t="str">
        <f>LOOKUP(M33,{0,2,2.25,2.5,2.75,3,3.25,3.5,3.75,4},{"Failed","Passed","Passed","Passed","Passed","Passed","Passed","Passed","Passed with  Distinction","Passed with Distinction"})</f>
        <v>Passed</v>
      </c>
    </row>
    <row r="34" spans="1:15">
      <c r="A34" s="14">
        <v>2011236027</v>
      </c>
      <c r="B34" s="13" t="str">
        <v xml:space="preserve">Md. Sadrul Alam </v>
      </c>
      <c r="C34" s="14">
        <v>12</v>
      </c>
      <c r="D34" s="14">
        <v>4</v>
      </c>
      <c r="E34" s="14" t="str">
        <f>LOOKUP(D34,{0,2,2.25,2.5,2.75,3,3.25,3.5,3.75,4},{"F","C-","C","C+","B-","B","B+","A-","A","A+"})</f>
        <v>A+</v>
      </c>
      <c r="F34" s="14">
        <v>13</v>
      </c>
      <c r="G34" s="14">
        <v>3.69</v>
      </c>
      <c r="H34" s="14" t="str">
        <f>LOOKUP(G34,{0,2,2.25,2.5,2.75,3,3.25,3.5,3.75,4},{"F","C-","C","C+","B-","B","B+","A-","A","A+"})</f>
        <v>A-</v>
      </c>
      <c r="I34" s="14">
        <v>11</v>
      </c>
      <c r="J34" s="14">
        <v>3.86</v>
      </c>
      <c r="K34" s="14" t="str">
        <f>LOOKUP(J34,{0,2,2.25,2.5,2.75,3,3.25,3.5,3.75,4},{"F","C-","C","C+","B-","B","B+","A-","A","A+"})</f>
        <v>A</v>
      </c>
      <c r="L34" s="14">
        <f t="shared" si="0"/>
        <v>36</v>
      </c>
      <c r="M34" s="14">
        <f t="shared" si="1"/>
        <v>3.85</v>
      </c>
      <c r="N34" s="14" t="str">
        <f>LOOKUP(M34,{0,2,2.25,2.5,2.75,3,3.25,3.5,3.75,4},{"F","C-","C","C+","B-","B","B+","A-","A","A+"})</f>
        <v>A</v>
      </c>
      <c r="O34" s="14" t="str">
        <f>LOOKUP(M34,{0,2,2.25,2.5,2.75,3,3.25,3.5,3.75,4},{"Failed","Passed","Passed","Passed","Passed","Passed","Passed","Passed","Passed with  Distinction","Passed with Distinction"})</f>
        <v>Passed with  Distinction</v>
      </c>
    </row>
    <row r="35" spans="1:15">
      <c r="A35" s="14">
        <v>2011236028</v>
      </c>
      <c r="B35" s="13" t="str">
        <v>Mohammad Asif Arefin</v>
      </c>
      <c r="C35" s="14">
        <v>12</v>
      </c>
      <c r="D35" s="14">
        <v>3.94</v>
      </c>
      <c r="E35" s="14" t="str">
        <f>LOOKUP(D35,{0,2,2.25,2.5,2.75,3,3.25,3.5,3.75,4},{"F","C-","C","C+","B-","B","B+","A-","A","A+"})</f>
        <v>A</v>
      </c>
      <c r="F35" s="14">
        <v>13</v>
      </c>
      <c r="G35" s="14">
        <v>4</v>
      </c>
      <c r="H35" s="14" t="str">
        <f>LOOKUP(G35,{0,2,2.25,2.5,2.75,3,3.25,3.5,3.75,4},{"F","C-","C","C+","B-","B","B+","A-","A","A+"})</f>
        <v>A+</v>
      </c>
      <c r="I35" s="14">
        <v>11</v>
      </c>
      <c r="J35" s="14">
        <v>3.8</v>
      </c>
      <c r="K35" s="14" t="str">
        <f>LOOKUP(J35,{0,2,2.25,2.5,2.75,3,3.25,3.5,3.75,4},{"F","C-","C","C+","B-","B","B+","A-","A","A+"})</f>
        <v>A</v>
      </c>
      <c r="L35" s="14">
        <f t="shared" si="0"/>
        <v>36</v>
      </c>
      <c r="M35" s="14">
        <f t="shared" si="1"/>
        <v>3.92</v>
      </c>
      <c r="N35" s="14" t="str">
        <f>LOOKUP(M35,{0,2,2.25,2.5,2.75,3,3.25,3.5,3.75,4},{"F","C-","C","C+","B-","B","B+","A-","A","A+"})</f>
        <v>A</v>
      </c>
      <c r="O35" s="14" t="str">
        <f>LOOKUP(M35,{0,2,2.25,2.5,2.75,3,3.25,3.5,3.75,4},{"Failed","Passed","Passed","Passed","Passed","Passed","Passed","Passed","Passed with  Distinction","Passed with Distinction"})</f>
        <v>Passed with  Distinction</v>
      </c>
    </row>
    <row r="36" spans="1:15">
      <c r="A36" s="14">
        <v>2011236029</v>
      </c>
      <c r="B36" s="13" t="str">
        <v>Mohammad Shahidur Rahman</v>
      </c>
      <c r="C36" s="14">
        <v>12</v>
      </c>
      <c r="D36" s="14">
        <v>4</v>
      </c>
      <c r="E36" s="14" t="str">
        <f>LOOKUP(D36,{0,2,2.25,2.5,2.75,3,3.25,3.5,3.75,4},{"F","C-","C","C+","B-","B","B+","A-","A","A+"})</f>
        <v>A+</v>
      </c>
      <c r="F36" s="14">
        <v>13</v>
      </c>
      <c r="G36" s="14">
        <v>3.88</v>
      </c>
      <c r="H36" s="14" t="str">
        <f>LOOKUP(G36,{0,2,2.25,2.5,2.75,3,3.25,3.5,3.75,4},{"F","C-","C","C+","B-","B","B+","A-","A","A+"})</f>
        <v>A</v>
      </c>
      <c r="I36" s="14">
        <v>11</v>
      </c>
      <c r="J36" s="14">
        <v>3.8</v>
      </c>
      <c r="K36" s="14" t="str">
        <f>LOOKUP(J36,{0,2,2.25,2.5,2.75,3,3.25,3.5,3.75,4},{"F","C-","C","C+","B-","B","B+","A-","A","A+"})</f>
        <v>A</v>
      </c>
      <c r="L36" s="14">
        <f t="shared" si="0"/>
        <v>36</v>
      </c>
      <c r="M36" s="14">
        <f t="shared" si="1"/>
        <v>3.9</v>
      </c>
      <c r="N36" s="14" t="str">
        <f>LOOKUP(M36,{0,2,2.25,2.5,2.75,3,3.25,3.5,3.75,4},{"F","C-","C","C+","B-","B","B+","A-","A","A+"})</f>
        <v>A</v>
      </c>
      <c r="O36" s="14" t="str">
        <f>LOOKUP(M36,{0,2,2.25,2.5,2.75,3,3.25,3.5,3.75,4},{"Failed","Passed","Passed","Passed","Passed","Passed","Passed","Passed","Passed with  Distinction","Passed with Distinction"})</f>
        <v>Passed with  Distinction</v>
      </c>
    </row>
    <row r="37" spans="1:15">
      <c r="A37" s="14">
        <v>2011236030</v>
      </c>
      <c r="B37" s="13" t="str">
        <v>Swity Sultana Monni</v>
      </c>
      <c r="C37" s="14">
        <v>12</v>
      </c>
      <c r="D37" s="14">
        <v>3.31</v>
      </c>
      <c r="E37" s="14" t="str">
        <f>LOOKUP(D37,{0,2,2.25,2.5,2.75,3,3.25,3.5,3.75,4},{"F","C-","C","C+","B-","B","B+","A-","A","A+"})</f>
        <v>B+</v>
      </c>
      <c r="F37" s="14">
        <v>13</v>
      </c>
      <c r="G37" s="14">
        <v>3.75</v>
      </c>
      <c r="H37" s="14" t="str">
        <f>LOOKUP(G37,{0,2,2.25,2.5,2.75,3,3.25,3.5,3.75,4},{"F","C-","C","C+","B-","B","B+","A-","A","A+"})</f>
        <v>A</v>
      </c>
      <c r="I37" s="14">
        <v>11</v>
      </c>
      <c r="J37" s="14">
        <v>3.61</v>
      </c>
      <c r="K37" s="14" t="str">
        <f>LOOKUP(J37,{0,2,2.25,2.5,2.75,3,3.25,3.5,3.75,4},{"F","C-","C","C+","B-","B","B+","A-","A","A+"})</f>
        <v>A-</v>
      </c>
      <c r="L37" s="14">
        <f t="shared" si="0"/>
        <v>36</v>
      </c>
      <c r="M37" s="14">
        <f t="shared" si="1"/>
        <v>3.56</v>
      </c>
      <c r="N37" s="14" t="str">
        <f>LOOKUP(M37,{0,2,2.25,2.5,2.75,3,3.25,3.5,3.75,4},{"F","C-","C","C+","B-","B","B+","A-","A","A+"})</f>
        <v>A-</v>
      </c>
      <c r="O37" s="14" t="str">
        <f>LOOKUP(M37,{0,2,2.25,2.5,2.75,3,3.25,3.5,3.75,4},{"Failed","Passed","Passed","Passed","Passed","Passed","Passed","Passed","Passed with  Distinction","Passed with Distinction"})</f>
        <v>Passed</v>
      </c>
    </row>
  </sheetData>
  <mergeCells count="8">
    <mergeCell ref="L4:N6"/>
    <mergeCell ref="O4:O7"/>
    <mergeCell ref="A2:O2"/>
    <mergeCell ref="A1:O1"/>
    <mergeCell ref="A3:O3"/>
    <mergeCell ref="C4:E6"/>
    <mergeCell ref="F4:H6"/>
    <mergeCell ref="I4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topLeftCell="A13" workbookViewId="0">
      <selection activeCell="C5" sqref="C5"/>
    </sheetView>
  </sheetViews>
  <sheetFormatPr defaultRowHeight="14.25"/>
  <cols>
    <col min="1" max="1" width="8.75" style="14" customWidth="1"/>
    <col min="2" max="2" width="14.25" style="15" customWidth="1"/>
    <col min="3" max="3" width="42.875" bestFit="1" customWidth="1"/>
    <col min="4" max="4" width="42.375" customWidth="1"/>
    <col min="5" max="5" width="42.875" bestFit="1" customWidth="1"/>
    <col min="257" max="257" width="6" customWidth="1"/>
    <col min="258" max="258" width="14.25" customWidth="1"/>
    <col min="259" max="259" width="42.875" bestFit="1" customWidth="1"/>
    <col min="260" max="260" width="42.375" customWidth="1"/>
    <col min="261" max="261" width="42.875" bestFit="1" customWidth="1"/>
    <col min="513" max="513" width="6" customWidth="1"/>
    <col min="514" max="514" width="14.25" customWidth="1"/>
    <col min="515" max="515" width="42.875" bestFit="1" customWidth="1"/>
    <col min="516" max="516" width="42.375" customWidth="1"/>
    <col min="517" max="517" width="42.875" bestFit="1" customWidth="1"/>
    <col min="769" max="769" width="6" customWidth="1"/>
    <col min="770" max="770" width="14.25" customWidth="1"/>
    <col min="771" max="771" width="42.875" bestFit="1" customWidth="1"/>
    <col min="772" max="772" width="42.375" customWidth="1"/>
    <col min="773" max="773" width="42.875" bestFit="1" customWidth="1"/>
    <col min="1025" max="1025" width="6" customWidth="1"/>
    <col min="1026" max="1026" width="14.25" customWidth="1"/>
    <col min="1027" max="1027" width="42.875" bestFit="1" customWidth="1"/>
    <col min="1028" max="1028" width="42.375" customWidth="1"/>
    <col min="1029" max="1029" width="42.875" bestFit="1" customWidth="1"/>
    <col min="1281" max="1281" width="6" customWidth="1"/>
    <col min="1282" max="1282" width="14.25" customWidth="1"/>
    <col min="1283" max="1283" width="42.875" bestFit="1" customWidth="1"/>
    <col min="1284" max="1284" width="42.375" customWidth="1"/>
    <col min="1285" max="1285" width="42.875" bestFit="1" customWidth="1"/>
    <col min="1537" max="1537" width="6" customWidth="1"/>
    <col min="1538" max="1538" width="14.25" customWidth="1"/>
    <col min="1539" max="1539" width="42.875" bestFit="1" customWidth="1"/>
    <col min="1540" max="1540" width="42.375" customWidth="1"/>
    <col min="1541" max="1541" width="42.875" bestFit="1" customWidth="1"/>
    <col min="1793" max="1793" width="6" customWidth="1"/>
    <col min="1794" max="1794" width="14.25" customWidth="1"/>
    <col min="1795" max="1795" width="42.875" bestFit="1" customWidth="1"/>
    <col min="1796" max="1796" width="42.375" customWidth="1"/>
    <col min="1797" max="1797" width="42.875" bestFit="1" customWidth="1"/>
    <col min="2049" max="2049" width="6" customWidth="1"/>
    <col min="2050" max="2050" width="14.25" customWidth="1"/>
    <col min="2051" max="2051" width="42.875" bestFit="1" customWidth="1"/>
    <col min="2052" max="2052" width="42.375" customWidth="1"/>
    <col min="2053" max="2053" width="42.875" bestFit="1" customWidth="1"/>
    <col min="2305" max="2305" width="6" customWidth="1"/>
    <col min="2306" max="2306" width="14.25" customWidth="1"/>
    <col min="2307" max="2307" width="42.875" bestFit="1" customWidth="1"/>
    <col min="2308" max="2308" width="42.375" customWidth="1"/>
    <col min="2309" max="2309" width="42.875" bestFit="1" customWidth="1"/>
    <col min="2561" max="2561" width="6" customWidth="1"/>
    <col min="2562" max="2562" width="14.25" customWidth="1"/>
    <col min="2563" max="2563" width="42.875" bestFit="1" customWidth="1"/>
    <col min="2564" max="2564" width="42.375" customWidth="1"/>
    <col min="2565" max="2565" width="42.875" bestFit="1" customWidth="1"/>
    <col min="2817" max="2817" width="6" customWidth="1"/>
    <col min="2818" max="2818" width="14.25" customWidth="1"/>
    <col min="2819" max="2819" width="42.875" bestFit="1" customWidth="1"/>
    <col min="2820" max="2820" width="42.375" customWidth="1"/>
    <col min="2821" max="2821" width="42.875" bestFit="1" customWidth="1"/>
    <col min="3073" max="3073" width="6" customWidth="1"/>
    <col min="3074" max="3074" width="14.25" customWidth="1"/>
    <col min="3075" max="3075" width="42.875" bestFit="1" customWidth="1"/>
    <col min="3076" max="3076" width="42.375" customWidth="1"/>
    <col min="3077" max="3077" width="42.875" bestFit="1" customWidth="1"/>
    <col min="3329" max="3329" width="6" customWidth="1"/>
    <col min="3330" max="3330" width="14.25" customWidth="1"/>
    <col min="3331" max="3331" width="42.875" bestFit="1" customWidth="1"/>
    <col min="3332" max="3332" width="42.375" customWidth="1"/>
    <col min="3333" max="3333" width="42.875" bestFit="1" customWidth="1"/>
    <col min="3585" max="3585" width="6" customWidth="1"/>
    <col min="3586" max="3586" width="14.25" customWidth="1"/>
    <col min="3587" max="3587" width="42.875" bestFit="1" customWidth="1"/>
    <col min="3588" max="3588" width="42.375" customWidth="1"/>
    <col min="3589" max="3589" width="42.875" bestFit="1" customWidth="1"/>
    <col min="3841" max="3841" width="6" customWidth="1"/>
    <col min="3842" max="3842" width="14.25" customWidth="1"/>
    <col min="3843" max="3843" width="42.875" bestFit="1" customWidth="1"/>
    <col min="3844" max="3844" width="42.375" customWidth="1"/>
    <col min="3845" max="3845" width="42.875" bestFit="1" customWidth="1"/>
    <col min="4097" max="4097" width="6" customWidth="1"/>
    <col min="4098" max="4098" width="14.25" customWidth="1"/>
    <col min="4099" max="4099" width="42.875" bestFit="1" customWidth="1"/>
    <col min="4100" max="4100" width="42.375" customWidth="1"/>
    <col min="4101" max="4101" width="42.875" bestFit="1" customWidth="1"/>
    <col min="4353" max="4353" width="6" customWidth="1"/>
    <col min="4354" max="4354" width="14.25" customWidth="1"/>
    <col min="4355" max="4355" width="42.875" bestFit="1" customWidth="1"/>
    <col min="4356" max="4356" width="42.375" customWidth="1"/>
    <col min="4357" max="4357" width="42.875" bestFit="1" customWidth="1"/>
    <col min="4609" max="4609" width="6" customWidth="1"/>
    <col min="4610" max="4610" width="14.25" customWidth="1"/>
    <col min="4611" max="4611" width="42.875" bestFit="1" customWidth="1"/>
    <col min="4612" max="4612" width="42.375" customWidth="1"/>
    <col min="4613" max="4613" width="42.875" bestFit="1" customWidth="1"/>
    <col min="4865" max="4865" width="6" customWidth="1"/>
    <col min="4866" max="4866" width="14.25" customWidth="1"/>
    <col min="4867" max="4867" width="42.875" bestFit="1" customWidth="1"/>
    <col min="4868" max="4868" width="42.375" customWidth="1"/>
    <col min="4869" max="4869" width="42.875" bestFit="1" customWidth="1"/>
    <col min="5121" max="5121" width="6" customWidth="1"/>
    <col min="5122" max="5122" width="14.25" customWidth="1"/>
    <col min="5123" max="5123" width="42.875" bestFit="1" customWidth="1"/>
    <col min="5124" max="5124" width="42.375" customWidth="1"/>
    <col min="5125" max="5125" width="42.875" bestFit="1" customWidth="1"/>
    <col min="5377" max="5377" width="6" customWidth="1"/>
    <col min="5378" max="5378" width="14.25" customWidth="1"/>
    <col min="5379" max="5379" width="42.875" bestFit="1" customWidth="1"/>
    <col min="5380" max="5380" width="42.375" customWidth="1"/>
    <col min="5381" max="5381" width="42.875" bestFit="1" customWidth="1"/>
    <col min="5633" max="5633" width="6" customWidth="1"/>
    <col min="5634" max="5634" width="14.25" customWidth="1"/>
    <col min="5635" max="5635" width="42.875" bestFit="1" customWidth="1"/>
    <col min="5636" max="5636" width="42.375" customWidth="1"/>
    <col min="5637" max="5637" width="42.875" bestFit="1" customWidth="1"/>
    <col min="5889" max="5889" width="6" customWidth="1"/>
    <col min="5890" max="5890" width="14.25" customWidth="1"/>
    <col min="5891" max="5891" width="42.875" bestFit="1" customWidth="1"/>
    <col min="5892" max="5892" width="42.375" customWidth="1"/>
    <col min="5893" max="5893" width="42.875" bestFit="1" customWidth="1"/>
    <col min="6145" max="6145" width="6" customWidth="1"/>
    <col min="6146" max="6146" width="14.25" customWidth="1"/>
    <col min="6147" max="6147" width="42.875" bestFit="1" customWidth="1"/>
    <col min="6148" max="6148" width="42.375" customWidth="1"/>
    <col min="6149" max="6149" width="42.875" bestFit="1" customWidth="1"/>
    <col min="6401" max="6401" width="6" customWidth="1"/>
    <col min="6402" max="6402" width="14.25" customWidth="1"/>
    <col min="6403" max="6403" width="42.875" bestFit="1" customWidth="1"/>
    <col min="6404" max="6404" width="42.375" customWidth="1"/>
    <col min="6405" max="6405" width="42.875" bestFit="1" customWidth="1"/>
    <col min="6657" max="6657" width="6" customWidth="1"/>
    <col min="6658" max="6658" width="14.25" customWidth="1"/>
    <col min="6659" max="6659" width="42.875" bestFit="1" customWidth="1"/>
    <col min="6660" max="6660" width="42.375" customWidth="1"/>
    <col min="6661" max="6661" width="42.875" bestFit="1" customWidth="1"/>
    <col min="6913" max="6913" width="6" customWidth="1"/>
    <col min="6914" max="6914" width="14.25" customWidth="1"/>
    <col min="6915" max="6915" width="42.875" bestFit="1" customWidth="1"/>
    <col min="6916" max="6916" width="42.375" customWidth="1"/>
    <col min="6917" max="6917" width="42.875" bestFit="1" customWidth="1"/>
    <col min="7169" max="7169" width="6" customWidth="1"/>
    <col min="7170" max="7170" width="14.25" customWidth="1"/>
    <col min="7171" max="7171" width="42.875" bestFit="1" customWidth="1"/>
    <col min="7172" max="7172" width="42.375" customWidth="1"/>
    <col min="7173" max="7173" width="42.875" bestFit="1" customWidth="1"/>
    <col min="7425" max="7425" width="6" customWidth="1"/>
    <col min="7426" max="7426" width="14.25" customWidth="1"/>
    <col min="7427" max="7427" width="42.875" bestFit="1" customWidth="1"/>
    <col min="7428" max="7428" width="42.375" customWidth="1"/>
    <col min="7429" max="7429" width="42.875" bestFit="1" customWidth="1"/>
    <col min="7681" max="7681" width="6" customWidth="1"/>
    <col min="7682" max="7682" width="14.25" customWidth="1"/>
    <col min="7683" max="7683" width="42.875" bestFit="1" customWidth="1"/>
    <col min="7684" max="7684" width="42.375" customWidth="1"/>
    <col min="7685" max="7685" width="42.875" bestFit="1" customWidth="1"/>
    <col min="7937" max="7937" width="6" customWidth="1"/>
    <col min="7938" max="7938" width="14.25" customWidth="1"/>
    <col min="7939" max="7939" width="42.875" bestFit="1" customWidth="1"/>
    <col min="7940" max="7940" width="42.375" customWidth="1"/>
    <col min="7941" max="7941" width="42.875" bestFit="1" customWidth="1"/>
    <col min="8193" max="8193" width="6" customWidth="1"/>
    <col min="8194" max="8194" width="14.25" customWidth="1"/>
    <col min="8195" max="8195" width="42.875" bestFit="1" customWidth="1"/>
    <col min="8196" max="8196" width="42.375" customWidth="1"/>
    <col min="8197" max="8197" width="42.875" bestFit="1" customWidth="1"/>
    <col min="8449" max="8449" width="6" customWidth="1"/>
    <col min="8450" max="8450" width="14.25" customWidth="1"/>
    <col min="8451" max="8451" width="42.875" bestFit="1" customWidth="1"/>
    <col min="8452" max="8452" width="42.375" customWidth="1"/>
    <col min="8453" max="8453" width="42.875" bestFit="1" customWidth="1"/>
    <col min="8705" max="8705" width="6" customWidth="1"/>
    <col min="8706" max="8706" width="14.25" customWidth="1"/>
    <col min="8707" max="8707" width="42.875" bestFit="1" customWidth="1"/>
    <col min="8708" max="8708" width="42.375" customWidth="1"/>
    <col min="8709" max="8709" width="42.875" bestFit="1" customWidth="1"/>
    <col min="8961" max="8961" width="6" customWidth="1"/>
    <col min="8962" max="8962" width="14.25" customWidth="1"/>
    <col min="8963" max="8963" width="42.875" bestFit="1" customWidth="1"/>
    <col min="8964" max="8964" width="42.375" customWidth="1"/>
    <col min="8965" max="8965" width="42.875" bestFit="1" customWidth="1"/>
    <col min="9217" max="9217" width="6" customWidth="1"/>
    <col min="9218" max="9218" width="14.25" customWidth="1"/>
    <col min="9219" max="9219" width="42.875" bestFit="1" customWidth="1"/>
    <col min="9220" max="9220" width="42.375" customWidth="1"/>
    <col min="9221" max="9221" width="42.875" bestFit="1" customWidth="1"/>
    <col min="9473" max="9473" width="6" customWidth="1"/>
    <col min="9474" max="9474" width="14.25" customWidth="1"/>
    <col min="9475" max="9475" width="42.875" bestFit="1" customWidth="1"/>
    <col min="9476" max="9476" width="42.375" customWidth="1"/>
    <col min="9477" max="9477" width="42.875" bestFit="1" customWidth="1"/>
    <col min="9729" max="9729" width="6" customWidth="1"/>
    <col min="9730" max="9730" width="14.25" customWidth="1"/>
    <col min="9731" max="9731" width="42.875" bestFit="1" customWidth="1"/>
    <col min="9732" max="9732" width="42.375" customWidth="1"/>
    <col min="9733" max="9733" width="42.875" bestFit="1" customWidth="1"/>
    <col min="9985" max="9985" width="6" customWidth="1"/>
    <col min="9986" max="9986" width="14.25" customWidth="1"/>
    <col min="9987" max="9987" width="42.875" bestFit="1" customWidth="1"/>
    <col min="9988" max="9988" width="42.375" customWidth="1"/>
    <col min="9989" max="9989" width="42.875" bestFit="1" customWidth="1"/>
    <col min="10241" max="10241" width="6" customWidth="1"/>
    <col min="10242" max="10242" width="14.25" customWidth="1"/>
    <col min="10243" max="10243" width="42.875" bestFit="1" customWidth="1"/>
    <col min="10244" max="10244" width="42.375" customWidth="1"/>
    <col min="10245" max="10245" width="42.875" bestFit="1" customWidth="1"/>
    <col min="10497" max="10497" width="6" customWidth="1"/>
    <col min="10498" max="10498" width="14.25" customWidth="1"/>
    <col min="10499" max="10499" width="42.875" bestFit="1" customWidth="1"/>
    <col min="10500" max="10500" width="42.375" customWidth="1"/>
    <col min="10501" max="10501" width="42.875" bestFit="1" customWidth="1"/>
    <col min="10753" max="10753" width="6" customWidth="1"/>
    <col min="10754" max="10754" width="14.25" customWidth="1"/>
    <col min="10755" max="10755" width="42.875" bestFit="1" customWidth="1"/>
    <col min="10756" max="10756" width="42.375" customWidth="1"/>
    <col min="10757" max="10757" width="42.875" bestFit="1" customWidth="1"/>
    <col min="11009" max="11009" width="6" customWidth="1"/>
    <col min="11010" max="11010" width="14.25" customWidth="1"/>
    <col min="11011" max="11011" width="42.875" bestFit="1" customWidth="1"/>
    <col min="11012" max="11012" width="42.375" customWidth="1"/>
    <col min="11013" max="11013" width="42.875" bestFit="1" customWidth="1"/>
    <col min="11265" max="11265" width="6" customWidth="1"/>
    <col min="11266" max="11266" width="14.25" customWidth="1"/>
    <col min="11267" max="11267" width="42.875" bestFit="1" customWidth="1"/>
    <col min="11268" max="11268" width="42.375" customWidth="1"/>
    <col min="11269" max="11269" width="42.875" bestFit="1" customWidth="1"/>
    <col min="11521" max="11521" width="6" customWidth="1"/>
    <col min="11522" max="11522" width="14.25" customWidth="1"/>
    <col min="11523" max="11523" width="42.875" bestFit="1" customWidth="1"/>
    <col min="11524" max="11524" width="42.375" customWidth="1"/>
    <col min="11525" max="11525" width="42.875" bestFit="1" customWidth="1"/>
    <col min="11777" max="11777" width="6" customWidth="1"/>
    <col min="11778" max="11778" width="14.25" customWidth="1"/>
    <col min="11779" max="11779" width="42.875" bestFit="1" customWidth="1"/>
    <col min="11780" max="11780" width="42.375" customWidth="1"/>
    <col min="11781" max="11781" width="42.875" bestFit="1" customWidth="1"/>
    <col min="12033" max="12033" width="6" customWidth="1"/>
    <col min="12034" max="12034" width="14.25" customWidth="1"/>
    <col min="12035" max="12035" width="42.875" bestFit="1" customWidth="1"/>
    <col min="12036" max="12036" width="42.375" customWidth="1"/>
    <col min="12037" max="12037" width="42.875" bestFit="1" customWidth="1"/>
    <col min="12289" max="12289" width="6" customWidth="1"/>
    <col min="12290" max="12290" width="14.25" customWidth="1"/>
    <col min="12291" max="12291" width="42.875" bestFit="1" customWidth="1"/>
    <col min="12292" max="12292" width="42.375" customWidth="1"/>
    <col min="12293" max="12293" width="42.875" bestFit="1" customWidth="1"/>
    <col min="12545" max="12545" width="6" customWidth="1"/>
    <col min="12546" max="12546" width="14.25" customWidth="1"/>
    <col min="12547" max="12547" width="42.875" bestFit="1" customWidth="1"/>
    <col min="12548" max="12548" width="42.375" customWidth="1"/>
    <col min="12549" max="12549" width="42.875" bestFit="1" customWidth="1"/>
    <col min="12801" max="12801" width="6" customWidth="1"/>
    <col min="12802" max="12802" width="14.25" customWidth="1"/>
    <col min="12803" max="12803" width="42.875" bestFit="1" customWidth="1"/>
    <col min="12804" max="12804" width="42.375" customWidth="1"/>
    <col min="12805" max="12805" width="42.875" bestFit="1" customWidth="1"/>
    <col min="13057" max="13057" width="6" customWidth="1"/>
    <col min="13058" max="13058" width="14.25" customWidth="1"/>
    <col min="13059" max="13059" width="42.875" bestFit="1" customWidth="1"/>
    <col min="13060" max="13060" width="42.375" customWidth="1"/>
    <col min="13061" max="13061" width="42.875" bestFit="1" customWidth="1"/>
    <col min="13313" max="13313" width="6" customWidth="1"/>
    <col min="13314" max="13314" width="14.25" customWidth="1"/>
    <col min="13315" max="13315" width="42.875" bestFit="1" customWidth="1"/>
    <col min="13316" max="13316" width="42.375" customWidth="1"/>
    <col min="13317" max="13317" width="42.875" bestFit="1" customWidth="1"/>
    <col min="13569" max="13569" width="6" customWidth="1"/>
    <col min="13570" max="13570" width="14.25" customWidth="1"/>
    <col min="13571" max="13571" width="42.875" bestFit="1" customWidth="1"/>
    <col min="13572" max="13572" width="42.375" customWidth="1"/>
    <col min="13573" max="13573" width="42.875" bestFit="1" customWidth="1"/>
    <col min="13825" max="13825" width="6" customWidth="1"/>
    <col min="13826" max="13826" width="14.25" customWidth="1"/>
    <col min="13827" max="13827" width="42.875" bestFit="1" customWidth="1"/>
    <col min="13828" max="13828" width="42.375" customWidth="1"/>
    <col min="13829" max="13829" width="42.875" bestFit="1" customWidth="1"/>
    <col min="14081" max="14081" width="6" customWidth="1"/>
    <col min="14082" max="14082" width="14.25" customWidth="1"/>
    <col min="14083" max="14083" width="42.875" bestFit="1" customWidth="1"/>
    <col min="14084" max="14084" width="42.375" customWidth="1"/>
    <col min="14085" max="14085" width="42.875" bestFit="1" customWidth="1"/>
    <col min="14337" max="14337" width="6" customWidth="1"/>
    <col min="14338" max="14338" width="14.25" customWidth="1"/>
    <col min="14339" max="14339" width="42.875" bestFit="1" customWidth="1"/>
    <col min="14340" max="14340" width="42.375" customWidth="1"/>
    <col min="14341" max="14341" width="42.875" bestFit="1" customWidth="1"/>
    <col min="14593" max="14593" width="6" customWidth="1"/>
    <col min="14594" max="14594" width="14.25" customWidth="1"/>
    <col min="14595" max="14595" width="42.875" bestFit="1" customWidth="1"/>
    <col min="14596" max="14596" width="42.375" customWidth="1"/>
    <col min="14597" max="14597" width="42.875" bestFit="1" customWidth="1"/>
    <col min="14849" max="14849" width="6" customWidth="1"/>
    <col min="14850" max="14850" width="14.25" customWidth="1"/>
    <col min="14851" max="14851" width="42.875" bestFit="1" customWidth="1"/>
    <col min="14852" max="14852" width="42.375" customWidth="1"/>
    <col min="14853" max="14853" width="42.875" bestFit="1" customWidth="1"/>
    <col min="15105" max="15105" width="6" customWidth="1"/>
    <col min="15106" max="15106" width="14.25" customWidth="1"/>
    <col min="15107" max="15107" width="42.875" bestFit="1" customWidth="1"/>
    <col min="15108" max="15108" width="42.375" customWidth="1"/>
    <col min="15109" max="15109" width="42.875" bestFit="1" customWidth="1"/>
    <col min="15361" max="15361" width="6" customWidth="1"/>
    <col min="15362" max="15362" width="14.25" customWidth="1"/>
    <col min="15363" max="15363" width="42.875" bestFit="1" customWidth="1"/>
    <col min="15364" max="15364" width="42.375" customWidth="1"/>
    <col min="15365" max="15365" width="42.875" bestFit="1" customWidth="1"/>
    <col min="15617" max="15617" width="6" customWidth="1"/>
    <col min="15618" max="15618" width="14.25" customWidth="1"/>
    <col min="15619" max="15619" width="42.875" bestFit="1" customWidth="1"/>
    <col min="15620" max="15620" width="42.375" customWidth="1"/>
    <col min="15621" max="15621" width="42.875" bestFit="1" customWidth="1"/>
    <col min="15873" max="15873" width="6" customWidth="1"/>
    <col min="15874" max="15874" width="14.25" customWidth="1"/>
    <col min="15875" max="15875" width="42.875" bestFit="1" customWidth="1"/>
    <col min="15876" max="15876" width="42.375" customWidth="1"/>
    <col min="15877" max="15877" width="42.875" bestFit="1" customWidth="1"/>
    <col min="16129" max="16129" width="6" customWidth="1"/>
    <col min="16130" max="16130" width="14.25" customWidth="1"/>
    <col min="16131" max="16131" width="42.875" bestFit="1" customWidth="1"/>
    <col min="16132" max="16132" width="42.375" customWidth="1"/>
    <col min="16133" max="16133" width="42.875" bestFit="1" customWidth="1"/>
  </cols>
  <sheetData>
    <row r="1" spans="1:5" s="4" customFormat="1" ht="15.75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ht="15" thickBot="1">
      <c r="A2" s="5">
        <v>1</v>
      </c>
      <c r="B2" s="6">
        <v>2011236001</v>
      </c>
      <c r="C2" s="7" t="s">
        <v>131</v>
      </c>
      <c r="D2" s="8" t="s">
        <v>5</v>
      </c>
      <c r="E2" s="7" t="s">
        <v>6</v>
      </c>
    </row>
    <row r="3" spans="1:5" ht="15" thickBot="1">
      <c r="A3" s="5">
        <v>2</v>
      </c>
      <c r="B3" s="6">
        <v>2011236002</v>
      </c>
      <c r="C3" s="9" t="s">
        <v>7</v>
      </c>
      <c r="D3" s="10" t="s">
        <v>8</v>
      </c>
      <c r="E3" s="9" t="s">
        <v>9</v>
      </c>
    </row>
    <row r="4" spans="1:5" ht="15" thickBot="1">
      <c r="A4" s="5">
        <v>3</v>
      </c>
      <c r="B4" s="6">
        <v>2011236003</v>
      </c>
      <c r="C4" s="9" t="s">
        <v>10</v>
      </c>
      <c r="D4" s="10" t="s">
        <v>11</v>
      </c>
      <c r="E4" s="9" t="s">
        <v>12</v>
      </c>
    </row>
    <row r="5" spans="1:5" ht="15" thickBot="1">
      <c r="A5" s="5">
        <v>4</v>
      </c>
      <c r="B5" s="6">
        <v>2011236004</v>
      </c>
      <c r="C5" s="9" t="s">
        <v>13</v>
      </c>
      <c r="D5" s="10" t="s">
        <v>14</v>
      </c>
      <c r="E5" s="9" t="s">
        <v>15</v>
      </c>
    </row>
    <row r="6" spans="1:5" ht="15" thickBot="1">
      <c r="A6" s="5">
        <v>5</v>
      </c>
      <c r="B6" s="6">
        <v>2011236005</v>
      </c>
      <c r="C6" s="9" t="s">
        <v>16</v>
      </c>
      <c r="D6" s="10" t="s">
        <v>17</v>
      </c>
      <c r="E6" s="9" t="s">
        <v>18</v>
      </c>
    </row>
    <row r="7" spans="1:5" ht="15" thickBot="1">
      <c r="A7" s="5">
        <v>6</v>
      </c>
      <c r="B7" s="6">
        <v>2011236006</v>
      </c>
      <c r="C7" s="9" t="s">
        <v>19</v>
      </c>
      <c r="D7" s="10" t="s">
        <v>20</v>
      </c>
      <c r="E7" s="9" t="s">
        <v>21</v>
      </c>
    </row>
    <row r="8" spans="1:5" ht="15" thickBot="1">
      <c r="A8" s="5">
        <v>7</v>
      </c>
      <c r="B8" s="6">
        <v>2011236007</v>
      </c>
      <c r="C8" s="9" t="s">
        <v>22</v>
      </c>
      <c r="D8" s="10" t="s">
        <v>23</v>
      </c>
      <c r="E8" s="9" t="s">
        <v>24</v>
      </c>
    </row>
    <row r="9" spans="1:5" ht="15" thickBot="1">
      <c r="A9" s="5">
        <v>8</v>
      </c>
      <c r="B9" s="6">
        <v>2011236008</v>
      </c>
      <c r="C9" s="9" t="s">
        <v>25</v>
      </c>
      <c r="D9" s="10" t="s">
        <v>26</v>
      </c>
      <c r="E9" s="9" t="s">
        <v>27</v>
      </c>
    </row>
    <row r="10" spans="1:5" ht="15" thickBot="1">
      <c r="A10" s="5">
        <v>9</v>
      </c>
      <c r="B10" s="6">
        <v>2011236009</v>
      </c>
      <c r="C10" s="9" t="s">
        <v>28</v>
      </c>
      <c r="D10" s="10" t="s">
        <v>29</v>
      </c>
      <c r="E10" s="9" t="s">
        <v>30</v>
      </c>
    </row>
    <row r="11" spans="1:5" ht="15" thickBot="1">
      <c r="A11" s="5">
        <v>10</v>
      </c>
      <c r="B11" s="6">
        <v>2011236010</v>
      </c>
      <c r="C11" s="9" t="s">
        <v>31</v>
      </c>
      <c r="D11" s="10" t="s">
        <v>32</v>
      </c>
      <c r="E11" s="9" t="s">
        <v>33</v>
      </c>
    </row>
    <row r="12" spans="1:5" ht="15" thickBot="1">
      <c r="A12" s="5">
        <v>11</v>
      </c>
      <c r="B12" s="6">
        <v>2011236011</v>
      </c>
      <c r="C12" s="9" t="s">
        <v>34</v>
      </c>
      <c r="D12" s="10" t="s">
        <v>35</v>
      </c>
      <c r="E12" s="9" t="s">
        <v>36</v>
      </c>
    </row>
    <row r="13" spans="1:5" ht="15" thickBot="1">
      <c r="A13" s="5">
        <v>12</v>
      </c>
      <c r="B13" s="6">
        <v>2011236012</v>
      </c>
      <c r="C13" s="11" t="s">
        <v>37</v>
      </c>
      <c r="D13" s="10" t="s">
        <v>38</v>
      </c>
      <c r="E13" s="9" t="s">
        <v>39</v>
      </c>
    </row>
    <row r="14" spans="1:5" ht="15" thickBot="1">
      <c r="A14" s="5">
        <v>13</v>
      </c>
      <c r="B14" s="6">
        <v>2011236013</v>
      </c>
      <c r="C14" s="9" t="s">
        <v>40</v>
      </c>
      <c r="D14" s="10" t="s">
        <v>41</v>
      </c>
      <c r="E14" s="9" t="s">
        <v>42</v>
      </c>
    </row>
    <row r="15" spans="1:5" ht="15" thickBot="1">
      <c r="A15" s="5">
        <v>14</v>
      </c>
      <c r="B15" s="6">
        <v>2011236014</v>
      </c>
      <c r="C15" s="9" t="s">
        <v>43</v>
      </c>
      <c r="D15" s="10" t="s">
        <v>44</v>
      </c>
      <c r="E15" s="9" t="s">
        <v>45</v>
      </c>
    </row>
    <row r="16" spans="1:5" ht="15" thickBot="1">
      <c r="A16" s="5">
        <v>15</v>
      </c>
      <c r="B16" s="6">
        <v>2011236015</v>
      </c>
      <c r="C16" s="9" t="s">
        <v>46</v>
      </c>
      <c r="D16" s="10" t="s">
        <v>47</v>
      </c>
      <c r="E16" s="9" t="s">
        <v>48</v>
      </c>
    </row>
    <row r="17" spans="1:5" ht="15" thickBot="1">
      <c r="A17" s="5">
        <v>16</v>
      </c>
      <c r="B17" s="6">
        <v>2011236016</v>
      </c>
      <c r="C17" s="9" t="s">
        <v>49</v>
      </c>
      <c r="D17" s="10" t="s">
        <v>50</v>
      </c>
      <c r="E17" s="9" t="s">
        <v>51</v>
      </c>
    </row>
    <row r="18" spans="1:5" ht="15" thickBot="1">
      <c r="A18" s="5">
        <v>17</v>
      </c>
      <c r="B18" s="6">
        <v>2011236017</v>
      </c>
      <c r="C18" s="9" t="s">
        <v>52</v>
      </c>
      <c r="D18" s="10" t="s">
        <v>53</v>
      </c>
      <c r="E18" s="9" t="s">
        <v>54</v>
      </c>
    </row>
    <row r="19" spans="1:5" ht="15" thickBot="1">
      <c r="A19" s="5">
        <v>18</v>
      </c>
      <c r="B19" s="6">
        <v>2011236018</v>
      </c>
      <c r="C19" s="9" t="s">
        <v>55</v>
      </c>
      <c r="D19" s="10" t="s">
        <v>56</v>
      </c>
      <c r="E19" s="9" t="s">
        <v>57</v>
      </c>
    </row>
    <row r="20" spans="1:5" ht="15" thickBot="1">
      <c r="A20" s="5">
        <v>19</v>
      </c>
      <c r="B20" s="6">
        <v>2011236019</v>
      </c>
      <c r="C20" s="9" t="s">
        <v>58</v>
      </c>
      <c r="D20" s="10" t="s">
        <v>59</v>
      </c>
      <c r="E20" s="9" t="s">
        <v>60</v>
      </c>
    </row>
    <row r="21" spans="1:5" ht="15" thickBot="1">
      <c r="A21" s="5">
        <v>20</v>
      </c>
      <c r="B21" s="6">
        <v>2011236020</v>
      </c>
      <c r="C21" s="9" t="s">
        <v>61</v>
      </c>
      <c r="D21" s="10" t="s">
        <v>62</v>
      </c>
      <c r="E21" s="9" t="s">
        <v>63</v>
      </c>
    </row>
    <row r="22" spans="1:5" ht="15" thickBot="1">
      <c r="A22" s="5">
        <v>21</v>
      </c>
      <c r="B22" s="6">
        <v>2011236021</v>
      </c>
      <c r="C22" s="9" t="s">
        <v>64</v>
      </c>
      <c r="D22" s="10" t="s">
        <v>65</v>
      </c>
      <c r="E22" s="9" t="s">
        <v>66</v>
      </c>
    </row>
    <row r="23" spans="1:5" ht="15" thickBot="1">
      <c r="A23" s="5">
        <v>22</v>
      </c>
      <c r="B23" s="6">
        <v>2011236022</v>
      </c>
      <c r="C23" s="9" t="s">
        <v>67</v>
      </c>
      <c r="D23" s="12" t="s">
        <v>68</v>
      </c>
      <c r="E23" s="9" t="s">
        <v>69</v>
      </c>
    </row>
    <row r="24" spans="1:5" s="13" customFormat="1" ht="15" thickBot="1">
      <c r="A24" s="5">
        <v>23</v>
      </c>
      <c r="B24" s="6">
        <v>2011236023</v>
      </c>
      <c r="C24" s="9" t="s">
        <v>70</v>
      </c>
      <c r="D24" s="10" t="s">
        <v>71</v>
      </c>
      <c r="E24" s="9" t="s">
        <v>72</v>
      </c>
    </row>
    <row r="25" spans="1:5" s="13" customFormat="1" ht="15" thickBot="1">
      <c r="A25" s="5">
        <v>24</v>
      </c>
      <c r="B25" s="6">
        <v>2011236024</v>
      </c>
      <c r="C25" s="9" t="s">
        <v>73</v>
      </c>
      <c r="D25" s="10" t="s">
        <v>74</v>
      </c>
      <c r="E25" s="9" t="s">
        <v>75</v>
      </c>
    </row>
    <row r="26" spans="1:5" ht="15" thickBot="1">
      <c r="A26" s="5">
        <v>25</v>
      </c>
      <c r="B26" s="6">
        <v>2011236025</v>
      </c>
      <c r="C26" s="9" t="s">
        <v>76</v>
      </c>
      <c r="D26" s="10" t="s">
        <v>77</v>
      </c>
      <c r="E26" s="9" t="s">
        <v>78</v>
      </c>
    </row>
    <row r="27" spans="1:5" ht="15" thickBot="1">
      <c r="A27" s="5">
        <v>26</v>
      </c>
      <c r="B27" s="6">
        <v>2011236026</v>
      </c>
      <c r="C27" s="9" t="s">
        <v>79</v>
      </c>
      <c r="D27" s="10" t="s">
        <v>80</v>
      </c>
      <c r="E27" s="9" t="s">
        <v>81</v>
      </c>
    </row>
    <row r="28" spans="1:5" ht="15" thickBot="1">
      <c r="A28" s="5">
        <v>27</v>
      </c>
      <c r="B28" s="6">
        <v>2011236027</v>
      </c>
      <c r="C28" s="9" t="s">
        <v>82</v>
      </c>
      <c r="D28" s="10" t="s">
        <v>83</v>
      </c>
      <c r="E28" s="9" t="s">
        <v>84</v>
      </c>
    </row>
    <row r="29" spans="1:5" ht="15" thickBot="1">
      <c r="A29" s="5">
        <v>28</v>
      </c>
      <c r="B29" s="6">
        <v>2011236028</v>
      </c>
      <c r="C29" s="9" t="s">
        <v>85</v>
      </c>
      <c r="D29" s="10" t="s">
        <v>86</v>
      </c>
      <c r="E29" s="9" t="s">
        <v>87</v>
      </c>
    </row>
    <row r="30" spans="1:5" ht="15" thickBot="1">
      <c r="A30" s="5">
        <v>29</v>
      </c>
      <c r="B30" s="6">
        <v>2011236029</v>
      </c>
      <c r="C30" s="9" t="s">
        <v>88</v>
      </c>
      <c r="D30" s="10" t="s">
        <v>89</v>
      </c>
      <c r="E30" s="9" t="s">
        <v>90</v>
      </c>
    </row>
    <row r="31" spans="1:5" ht="15" thickBot="1">
      <c r="A31" s="5">
        <v>30</v>
      </c>
      <c r="B31" s="6">
        <v>2011236030</v>
      </c>
      <c r="C31" s="9" t="s">
        <v>91</v>
      </c>
      <c r="D31" s="10" t="s">
        <v>92</v>
      </c>
      <c r="E31" s="9" t="s">
        <v>6</v>
      </c>
    </row>
    <row r="32" spans="1:5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  <row r="44" spans="1:2">
      <c r="A44"/>
      <c r="B44"/>
    </row>
  </sheetData>
  <pageMargins left="1" right="1" top="0.5" bottom="0.5" header="0" footer="0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selection activeCell="C19" sqref="C19"/>
    </sheetView>
  </sheetViews>
  <sheetFormatPr defaultRowHeight="15"/>
  <cols>
    <col min="1" max="1" width="14.75" style="20" customWidth="1"/>
    <col min="2" max="2" width="9.375" style="20" bestFit="1" customWidth="1"/>
    <col min="3" max="3" width="45.625" style="20" customWidth="1"/>
    <col min="4" max="5" width="10.625" style="20" bestFit="1" customWidth="1"/>
    <col min="257" max="257" width="5.625" bestFit="1" customWidth="1"/>
    <col min="258" max="258" width="9.375" bestFit="1" customWidth="1"/>
    <col min="259" max="259" width="45.625" customWidth="1"/>
    <col min="260" max="261" width="10.625" bestFit="1" customWidth="1"/>
    <col min="513" max="513" width="5.625" bestFit="1" customWidth="1"/>
    <col min="514" max="514" width="9.375" bestFit="1" customWidth="1"/>
    <col min="515" max="515" width="45.625" customWidth="1"/>
    <col min="516" max="517" width="10.625" bestFit="1" customWidth="1"/>
    <col min="769" max="769" width="5.625" bestFit="1" customWidth="1"/>
    <col min="770" max="770" width="9.375" bestFit="1" customWidth="1"/>
    <col min="771" max="771" width="45.625" customWidth="1"/>
    <col min="772" max="773" width="10.625" bestFit="1" customWidth="1"/>
    <col min="1025" max="1025" width="5.625" bestFit="1" customWidth="1"/>
    <col min="1026" max="1026" width="9.375" bestFit="1" customWidth="1"/>
    <col min="1027" max="1027" width="45.625" customWidth="1"/>
    <col min="1028" max="1029" width="10.625" bestFit="1" customWidth="1"/>
    <col min="1281" max="1281" width="5.625" bestFit="1" customWidth="1"/>
    <col min="1282" max="1282" width="9.375" bestFit="1" customWidth="1"/>
    <col min="1283" max="1283" width="45.625" customWidth="1"/>
    <col min="1284" max="1285" width="10.625" bestFit="1" customWidth="1"/>
    <col min="1537" max="1537" width="5.625" bestFit="1" customWidth="1"/>
    <col min="1538" max="1538" width="9.375" bestFit="1" customWidth="1"/>
    <col min="1539" max="1539" width="45.625" customWidth="1"/>
    <col min="1540" max="1541" width="10.625" bestFit="1" customWidth="1"/>
    <col min="1793" max="1793" width="5.625" bestFit="1" customWidth="1"/>
    <col min="1794" max="1794" width="9.375" bestFit="1" customWidth="1"/>
    <col min="1795" max="1795" width="45.625" customWidth="1"/>
    <col min="1796" max="1797" width="10.625" bestFit="1" customWidth="1"/>
    <col min="2049" max="2049" width="5.625" bestFit="1" customWidth="1"/>
    <col min="2050" max="2050" width="9.375" bestFit="1" customWidth="1"/>
    <col min="2051" max="2051" width="45.625" customWidth="1"/>
    <col min="2052" max="2053" width="10.625" bestFit="1" customWidth="1"/>
    <col min="2305" max="2305" width="5.625" bestFit="1" customWidth="1"/>
    <col min="2306" max="2306" width="9.375" bestFit="1" customWidth="1"/>
    <col min="2307" max="2307" width="45.625" customWidth="1"/>
    <col min="2308" max="2309" width="10.625" bestFit="1" customWidth="1"/>
    <col min="2561" max="2561" width="5.625" bestFit="1" customWidth="1"/>
    <col min="2562" max="2562" width="9.375" bestFit="1" customWidth="1"/>
    <col min="2563" max="2563" width="45.625" customWidth="1"/>
    <col min="2564" max="2565" width="10.625" bestFit="1" customWidth="1"/>
    <col min="2817" max="2817" width="5.625" bestFit="1" customWidth="1"/>
    <col min="2818" max="2818" width="9.375" bestFit="1" customWidth="1"/>
    <col min="2819" max="2819" width="45.625" customWidth="1"/>
    <col min="2820" max="2821" width="10.625" bestFit="1" customWidth="1"/>
    <col min="3073" max="3073" width="5.625" bestFit="1" customWidth="1"/>
    <col min="3074" max="3074" width="9.375" bestFit="1" customWidth="1"/>
    <col min="3075" max="3075" width="45.625" customWidth="1"/>
    <col min="3076" max="3077" width="10.625" bestFit="1" customWidth="1"/>
    <col min="3329" max="3329" width="5.625" bestFit="1" customWidth="1"/>
    <col min="3330" max="3330" width="9.375" bestFit="1" customWidth="1"/>
    <col min="3331" max="3331" width="45.625" customWidth="1"/>
    <col min="3332" max="3333" width="10.625" bestFit="1" customWidth="1"/>
    <col min="3585" max="3585" width="5.625" bestFit="1" customWidth="1"/>
    <col min="3586" max="3586" width="9.375" bestFit="1" customWidth="1"/>
    <col min="3587" max="3587" width="45.625" customWidth="1"/>
    <col min="3588" max="3589" width="10.625" bestFit="1" customWidth="1"/>
    <col min="3841" max="3841" width="5.625" bestFit="1" customWidth="1"/>
    <col min="3842" max="3842" width="9.375" bestFit="1" customWidth="1"/>
    <col min="3843" max="3843" width="45.625" customWidth="1"/>
    <col min="3844" max="3845" width="10.625" bestFit="1" customWidth="1"/>
    <col min="4097" max="4097" width="5.625" bestFit="1" customWidth="1"/>
    <col min="4098" max="4098" width="9.375" bestFit="1" customWidth="1"/>
    <col min="4099" max="4099" width="45.625" customWidth="1"/>
    <col min="4100" max="4101" width="10.625" bestFit="1" customWidth="1"/>
    <col min="4353" max="4353" width="5.625" bestFit="1" customWidth="1"/>
    <col min="4354" max="4354" width="9.375" bestFit="1" customWidth="1"/>
    <col min="4355" max="4355" width="45.625" customWidth="1"/>
    <col min="4356" max="4357" width="10.625" bestFit="1" customWidth="1"/>
    <col min="4609" max="4609" width="5.625" bestFit="1" customWidth="1"/>
    <col min="4610" max="4610" width="9.375" bestFit="1" customWidth="1"/>
    <col min="4611" max="4611" width="45.625" customWidth="1"/>
    <col min="4612" max="4613" width="10.625" bestFit="1" customWidth="1"/>
    <col min="4865" max="4865" width="5.625" bestFit="1" customWidth="1"/>
    <col min="4866" max="4866" width="9.375" bestFit="1" customWidth="1"/>
    <col min="4867" max="4867" width="45.625" customWidth="1"/>
    <col min="4868" max="4869" width="10.625" bestFit="1" customWidth="1"/>
    <col min="5121" max="5121" width="5.625" bestFit="1" customWidth="1"/>
    <col min="5122" max="5122" width="9.375" bestFit="1" customWidth="1"/>
    <col min="5123" max="5123" width="45.625" customWidth="1"/>
    <col min="5124" max="5125" width="10.625" bestFit="1" customWidth="1"/>
    <col min="5377" max="5377" width="5.625" bestFit="1" customWidth="1"/>
    <col min="5378" max="5378" width="9.375" bestFit="1" customWidth="1"/>
    <col min="5379" max="5379" width="45.625" customWidth="1"/>
    <col min="5380" max="5381" width="10.625" bestFit="1" customWidth="1"/>
    <col min="5633" max="5633" width="5.625" bestFit="1" customWidth="1"/>
    <col min="5634" max="5634" width="9.375" bestFit="1" customWidth="1"/>
    <col min="5635" max="5635" width="45.625" customWidth="1"/>
    <col min="5636" max="5637" width="10.625" bestFit="1" customWidth="1"/>
    <col min="5889" max="5889" width="5.625" bestFit="1" customWidth="1"/>
    <col min="5890" max="5890" width="9.375" bestFit="1" customWidth="1"/>
    <col min="5891" max="5891" width="45.625" customWidth="1"/>
    <col min="5892" max="5893" width="10.625" bestFit="1" customWidth="1"/>
    <col min="6145" max="6145" width="5.625" bestFit="1" customWidth="1"/>
    <col min="6146" max="6146" width="9.375" bestFit="1" customWidth="1"/>
    <col min="6147" max="6147" width="45.625" customWidth="1"/>
    <col min="6148" max="6149" width="10.625" bestFit="1" customWidth="1"/>
    <col min="6401" max="6401" width="5.625" bestFit="1" customWidth="1"/>
    <col min="6402" max="6402" width="9.375" bestFit="1" customWidth="1"/>
    <col min="6403" max="6403" width="45.625" customWidth="1"/>
    <col min="6404" max="6405" width="10.625" bestFit="1" customWidth="1"/>
    <col min="6657" max="6657" width="5.625" bestFit="1" customWidth="1"/>
    <col min="6658" max="6658" width="9.375" bestFit="1" customWidth="1"/>
    <col min="6659" max="6659" width="45.625" customWidth="1"/>
    <col min="6660" max="6661" width="10.625" bestFit="1" customWidth="1"/>
    <col min="6913" max="6913" width="5.625" bestFit="1" customWidth="1"/>
    <col min="6914" max="6914" width="9.375" bestFit="1" customWidth="1"/>
    <col min="6915" max="6915" width="45.625" customWidth="1"/>
    <col min="6916" max="6917" width="10.625" bestFit="1" customWidth="1"/>
    <col min="7169" max="7169" width="5.625" bestFit="1" customWidth="1"/>
    <col min="7170" max="7170" width="9.375" bestFit="1" customWidth="1"/>
    <col min="7171" max="7171" width="45.625" customWidth="1"/>
    <col min="7172" max="7173" width="10.625" bestFit="1" customWidth="1"/>
    <col min="7425" max="7425" width="5.625" bestFit="1" customWidth="1"/>
    <col min="7426" max="7426" width="9.375" bestFit="1" customWidth="1"/>
    <col min="7427" max="7427" width="45.625" customWidth="1"/>
    <col min="7428" max="7429" width="10.625" bestFit="1" customWidth="1"/>
    <col min="7681" max="7681" width="5.625" bestFit="1" customWidth="1"/>
    <col min="7682" max="7682" width="9.375" bestFit="1" customWidth="1"/>
    <col min="7683" max="7683" width="45.625" customWidth="1"/>
    <col min="7684" max="7685" width="10.625" bestFit="1" customWidth="1"/>
    <col min="7937" max="7937" width="5.625" bestFit="1" customWidth="1"/>
    <col min="7938" max="7938" width="9.375" bestFit="1" customWidth="1"/>
    <col min="7939" max="7939" width="45.625" customWidth="1"/>
    <col min="7940" max="7941" width="10.625" bestFit="1" customWidth="1"/>
    <col min="8193" max="8193" width="5.625" bestFit="1" customWidth="1"/>
    <col min="8194" max="8194" width="9.375" bestFit="1" customWidth="1"/>
    <col min="8195" max="8195" width="45.625" customWidth="1"/>
    <col min="8196" max="8197" width="10.625" bestFit="1" customWidth="1"/>
    <col min="8449" max="8449" width="5.625" bestFit="1" customWidth="1"/>
    <col min="8450" max="8450" width="9.375" bestFit="1" customWidth="1"/>
    <col min="8451" max="8451" width="45.625" customWidth="1"/>
    <col min="8452" max="8453" width="10.625" bestFit="1" customWidth="1"/>
    <col min="8705" max="8705" width="5.625" bestFit="1" customWidth="1"/>
    <col min="8706" max="8706" width="9.375" bestFit="1" customWidth="1"/>
    <col min="8707" max="8707" width="45.625" customWidth="1"/>
    <col min="8708" max="8709" width="10.625" bestFit="1" customWidth="1"/>
    <col min="8961" max="8961" width="5.625" bestFit="1" customWidth="1"/>
    <col min="8962" max="8962" width="9.375" bestFit="1" customWidth="1"/>
    <col min="8963" max="8963" width="45.625" customWidth="1"/>
    <col min="8964" max="8965" width="10.625" bestFit="1" customWidth="1"/>
    <col min="9217" max="9217" width="5.625" bestFit="1" customWidth="1"/>
    <col min="9218" max="9218" width="9.375" bestFit="1" customWidth="1"/>
    <col min="9219" max="9219" width="45.625" customWidth="1"/>
    <col min="9220" max="9221" width="10.625" bestFit="1" customWidth="1"/>
    <col min="9473" max="9473" width="5.625" bestFit="1" customWidth="1"/>
    <col min="9474" max="9474" width="9.375" bestFit="1" customWidth="1"/>
    <col min="9475" max="9475" width="45.625" customWidth="1"/>
    <col min="9476" max="9477" width="10.625" bestFit="1" customWidth="1"/>
    <col min="9729" max="9729" width="5.625" bestFit="1" customWidth="1"/>
    <col min="9730" max="9730" width="9.375" bestFit="1" customWidth="1"/>
    <col min="9731" max="9731" width="45.625" customWidth="1"/>
    <col min="9732" max="9733" width="10.625" bestFit="1" customWidth="1"/>
    <col min="9985" max="9985" width="5.625" bestFit="1" customWidth="1"/>
    <col min="9986" max="9986" width="9.375" bestFit="1" customWidth="1"/>
    <col min="9987" max="9987" width="45.625" customWidth="1"/>
    <col min="9988" max="9989" width="10.625" bestFit="1" customWidth="1"/>
    <col min="10241" max="10241" width="5.625" bestFit="1" customWidth="1"/>
    <col min="10242" max="10242" width="9.375" bestFit="1" customWidth="1"/>
    <col min="10243" max="10243" width="45.625" customWidth="1"/>
    <col min="10244" max="10245" width="10.625" bestFit="1" customWidth="1"/>
    <col min="10497" max="10497" width="5.625" bestFit="1" customWidth="1"/>
    <col min="10498" max="10498" width="9.375" bestFit="1" customWidth="1"/>
    <col min="10499" max="10499" width="45.625" customWidth="1"/>
    <col min="10500" max="10501" width="10.625" bestFit="1" customWidth="1"/>
    <col min="10753" max="10753" width="5.625" bestFit="1" customWidth="1"/>
    <col min="10754" max="10754" width="9.375" bestFit="1" customWidth="1"/>
    <col min="10755" max="10755" width="45.625" customWidth="1"/>
    <col min="10756" max="10757" width="10.625" bestFit="1" customWidth="1"/>
    <col min="11009" max="11009" width="5.625" bestFit="1" customWidth="1"/>
    <col min="11010" max="11010" width="9.375" bestFit="1" customWidth="1"/>
    <col min="11011" max="11011" width="45.625" customWidth="1"/>
    <col min="11012" max="11013" width="10.625" bestFit="1" customWidth="1"/>
    <col min="11265" max="11265" width="5.625" bestFit="1" customWidth="1"/>
    <col min="11266" max="11266" width="9.375" bestFit="1" customWidth="1"/>
    <col min="11267" max="11267" width="45.625" customWidth="1"/>
    <col min="11268" max="11269" width="10.625" bestFit="1" customWidth="1"/>
    <col min="11521" max="11521" width="5.625" bestFit="1" customWidth="1"/>
    <col min="11522" max="11522" width="9.375" bestFit="1" customWidth="1"/>
    <col min="11523" max="11523" width="45.625" customWidth="1"/>
    <col min="11524" max="11525" width="10.625" bestFit="1" customWidth="1"/>
    <col min="11777" max="11777" width="5.625" bestFit="1" customWidth="1"/>
    <col min="11778" max="11778" width="9.375" bestFit="1" customWidth="1"/>
    <col min="11779" max="11779" width="45.625" customWidth="1"/>
    <col min="11780" max="11781" width="10.625" bestFit="1" customWidth="1"/>
    <col min="12033" max="12033" width="5.625" bestFit="1" customWidth="1"/>
    <col min="12034" max="12034" width="9.375" bestFit="1" customWidth="1"/>
    <col min="12035" max="12035" width="45.625" customWidth="1"/>
    <col min="12036" max="12037" width="10.625" bestFit="1" customWidth="1"/>
    <col min="12289" max="12289" width="5.625" bestFit="1" customWidth="1"/>
    <col min="12290" max="12290" width="9.375" bestFit="1" customWidth="1"/>
    <col min="12291" max="12291" width="45.625" customWidth="1"/>
    <col min="12292" max="12293" width="10.625" bestFit="1" customWidth="1"/>
    <col min="12545" max="12545" width="5.625" bestFit="1" customWidth="1"/>
    <col min="12546" max="12546" width="9.375" bestFit="1" customWidth="1"/>
    <col min="12547" max="12547" width="45.625" customWidth="1"/>
    <col min="12548" max="12549" width="10.625" bestFit="1" customWidth="1"/>
    <col min="12801" max="12801" width="5.625" bestFit="1" customWidth="1"/>
    <col min="12802" max="12802" width="9.375" bestFit="1" customWidth="1"/>
    <col min="12803" max="12803" width="45.625" customWidth="1"/>
    <col min="12804" max="12805" width="10.625" bestFit="1" customWidth="1"/>
    <col min="13057" max="13057" width="5.625" bestFit="1" customWidth="1"/>
    <col min="13058" max="13058" width="9.375" bestFit="1" customWidth="1"/>
    <col min="13059" max="13059" width="45.625" customWidth="1"/>
    <col min="13060" max="13061" width="10.625" bestFit="1" customWidth="1"/>
    <col min="13313" max="13313" width="5.625" bestFit="1" customWidth="1"/>
    <col min="13314" max="13314" width="9.375" bestFit="1" customWidth="1"/>
    <col min="13315" max="13315" width="45.625" customWidth="1"/>
    <col min="13316" max="13317" width="10.625" bestFit="1" customWidth="1"/>
    <col min="13569" max="13569" width="5.625" bestFit="1" customWidth="1"/>
    <col min="13570" max="13570" width="9.375" bestFit="1" customWidth="1"/>
    <col min="13571" max="13571" width="45.625" customWidth="1"/>
    <col min="13572" max="13573" width="10.625" bestFit="1" customWidth="1"/>
    <col min="13825" max="13825" width="5.625" bestFit="1" customWidth="1"/>
    <col min="13826" max="13826" width="9.375" bestFit="1" customWidth="1"/>
    <col min="13827" max="13827" width="45.625" customWidth="1"/>
    <col min="13828" max="13829" width="10.625" bestFit="1" customWidth="1"/>
    <col min="14081" max="14081" width="5.625" bestFit="1" customWidth="1"/>
    <col min="14082" max="14082" width="9.375" bestFit="1" customWidth="1"/>
    <col min="14083" max="14083" width="45.625" customWidth="1"/>
    <col min="14084" max="14085" width="10.625" bestFit="1" customWidth="1"/>
    <col min="14337" max="14337" width="5.625" bestFit="1" customWidth="1"/>
    <col min="14338" max="14338" width="9.375" bestFit="1" customWidth="1"/>
    <col min="14339" max="14339" width="45.625" customWidth="1"/>
    <col min="14340" max="14341" width="10.625" bestFit="1" customWidth="1"/>
    <col min="14593" max="14593" width="5.625" bestFit="1" customWidth="1"/>
    <col min="14594" max="14594" width="9.375" bestFit="1" customWidth="1"/>
    <col min="14595" max="14595" width="45.625" customWidth="1"/>
    <col min="14596" max="14597" width="10.625" bestFit="1" customWidth="1"/>
    <col min="14849" max="14849" width="5.625" bestFit="1" customWidth="1"/>
    <col min="14850" max="14850" width="9.375" bestFit="1" customWidth="1"/>
    <col min="14851" max="14851" width="45.625" customWidth="1"/>
    <col min="14852" max="14853" width="10.625" bestFit="1" customWidth="1"/>
    <col min="15105" max="15105" width="5.625" bestFit="1" customWidth="1"/>
    <col min="15106" max="15106" width="9.375" bestFit="1" customWidth="1"/>
    <col min="15107" max="15107" width="45.625" customWidth="1"/>
    <col min="15108" max="15109" width="10.625" bestFit="1" customWidth="1"/>
    <col min="15361" max="15361" width="5.625" bestFit="1" customWidth="1"/>
    <col min="15362" max="15362" width="9.375" bestFit="1" customWidth="1"/>
    <col min="15363" max="15363" width="45.625" customWidth="1"/>
    <col min="15364" max="15365" width="10.625" bestFit="1" customWidth="1"/>
    <col min="15617" max="15617" width="5.625" bestFit="1" customWidth="1"/>
    <col min="15618" max="15618" width="9.375" bestFit="1" customWidth="1"/>
    <col min="15619" max="15619" width="45.625" customWidth="1"/>
    <col min="15620" max="15621" width="10.625" bestFit="1" customWidth="1"/>
    <col min="15873" max="15873" width="5.625" bestFit="1" customWidth="1"/>
    <col min="15874" max="15874" width="9.375" bestFit="1" customWidth="1"/>
    <col min="15875" max="15875" width="45.625" customWidth="1"/>
    <col min="15876" max="15877" width="10.625" bestFit="1" customWidth="1"/>
    <col min="16129" max="16129" width="5.625" bestFit="1" customWidth="1"/>
    <col min="16130" max="16130" width="9.375" bestFit="1" customWidth="1"/>
    <col min="16131" max="16131" width="45.625" customWidth="1"/>
    <col min="16132" max="16133" width="10.625" bestFit="1" customWidth="1"/>
  </cols>
  <sheetData>
    <row r="1" spans="1:5" s="4" customFormat="1">
      <c r="A1" s="18" t="s">
        <v>130</v>
      </c>
      <c r="B1" s="21" t="s">
        <v>93</v>
      </c>
      <c r="C1" s="25" t="s">
        <v>94</v>
      </c>
      <c r="D1" s="21" t="s">
        <v>95</v>
      </c>
      <c r="E1" s="21" t="s">
        <v>96</v>
      </c>
    </row>
    <row r="2" spans="1:5">
      <c r="A2" s="58">
        <v>1</v>
      </c>
      <c r="B2" s="22" t="s">
        <v>139</v>
      </c>
      <c r="C2" s="26" t="s">
        <v>132</v>
      </c>
      <c r="D2" s="22" t="s">
        <v>122</v>
      </c>
      <c r="E2" s="28">
        <v>3</v>
      </c>
    </row>
    <row r="3" spans="1:5">
      <c r="A3" s="58"/>
      <c r="B3" s="22" t="s">
        <v>140</v>
      </c>
      <c r="C3" s="26" t="s">
        <v>155</v>
      </c>
      <c r="D3" s="22" t="s">
        <v>122</v>
      </c>
      <c r="E3" s="28">
        <v>4</v>
      </c>
    </row>
    <row r="4" spans="1:5">
      <c r="A4" s="58"/>
      <c r="B4" s="22" t="s">
        <v>141</v>
      </c>
      <c r="C4" s="26" t="s">
        <v>156</v>
      </c>
      <c r="D4" s="22" t="s">
        <v>122</v>
      </c>
      <c r="E4" s="28">
        <v>3</v>
      </c>
    </row>
    <row r="5" spans="1:5">
      <c r="A5" s="58"/>
      <c r="B5" s="22" t="s">
        <v>142</v>
      </c>
      <c r="C5" s="26" t="s">
        <v>133</v>
      </c>
      <c r="D5" s="22" t="s">
        <v>122</v>
      </c>
      <c r="E5" s="28">
        <v>2</v>
      </c>
    </row>
    <row r="6" spans="1:5">
      <c r="A6" s="59">
        <v>2</v>
      </c>
      <c r="B6" s="22" t="s">
        <v>143</v>
      </c>
      <c r="C6" s="26" t="s">
        <v>134</v>
      </c>
      <c r="D6" s="22" t="s">
        <v>122</v>
      </c>
      <c r="E6" s="28">
        <v>4</v>
      </c>
    </row>
    <row r="7" spans="1:5">
      <c r="A7" s="60"/>
      <c r="B7" s="22" t="s">
        <v>144</v>
      </c>
      <c r="C7" s="26" t="s">
        <v>135</v>
      </c>
      <c r="D7" s="22" t="s">
        <v>122</v>
      </c>
      <c r="E7" s="28">
        <v>3</v>
      </c>
    </row>
    <row r="8" spans="1:5">
      <c r="A8" s="60"/>
      <c r="B8" s="22" t="s">
        <v>145</v>
      </c>
      <c r="C8" s="26" t="s">
        <v>157</v>
      </c>
      <c r="D8" s="22" t="s">
        <v>122</v>
      </c>
      <c r="E8" s="28">
        <v>4</v>
      </c>
    </row>
    <row r="9" spans="1:5">
      <c r="A9" s="61"/>
      <c r="B9" s="22" t="s">
        <v>146</v>
      </c>
      <c r="C9" s="26" t="s">
        <v>136</v>
      </c>
      <c r="D9" s="22" t="s">
        <v>122</v>
      </c>
      <c r="E9" s="28">
        <v>2</v>
      </c>
    </row>
    <row r="10" spans="1:5">
      <c r="A10" s="58">
        <v>3</v>
      </c>
      <c r="B10" s="22" t="s">
        <v>147</v>
      </c>
      <c r="C10" s="26" t="s">
        <v>137</v>
      </c>
      <c r="D10" s="22" t="s">
        <v>122</v>
      </c>
      <c r="E10" s="28">
        <v>3</v>
      </c>
    </row>
    <row r="11" spans="1:5">
      <c r="A11" s="58"/>
      <c r="B11" s="22" t="s">
        <v>148</v>
      </c>
      <c r="C11" s="26" t="s">
        <v>158</v>
      </c>
      <c r="D11" s="22" t="s">
        <v>122</v>
      </c>
      <c r="E11" s="28">
        <v>2</v>
      </c>
    </row>
    <row r="12" spans="1:5">
      <c r="A12" s="58"/>
      <c r="B12" s="22" t="s">
        <v>149</v>
      </c>
      <c r="C12" s="26" t="s">
        <v>138</v>
      </c>
      <c r="D12" s="22" t="s">
        <v>122</v>
      </c>
      <c r="E12" s="28">
        <v>2</v>
      </c>
    </row>
    <row r="13" spans="1:5">
      <c r="A13" s="58"/>
      <c r="B13" s="23" t="s">
        <v>150</v>
      </c>
      <c r="C13" s="26" t="s">
        <v>159</v>
      </c>
      <c r="D13" s="22" t="s">
        <v>122</v>
      </c>
      <c r="E13" s="29">
        <v>4</v>
      </c>
    </row>
    <row r="14" spans="1:5">
      <c r="A14" s="19"/>
      <c r="B14" s="24"/>
      <c r="D14" s="24"/>
      <c r="E14" s="30"/>
    </row>
    <row r="15" spans="1:5">
      <c r="C15" s="27" t="s">
        <v>97</v>
      </c>
      <c r="E15" s="31">
        <f>SUM(E2:E14)</f>
        <v>36</v>
      </c>
    </row>
  </sheetData>
  <mergeCells count="3">
    <mergeCell ref="A2:A5"/>
    <mergeCell ref="A6:A9"/>
    <mergeCell ref="A10:A13"/>
  </mergeCells>
  <phoneticPr fontId="4" type="noConversion"/>
  <pageMargins left="0.5" right="0.5" top="0.25" bottom="0.2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selection activeCell="C17" sqref="C17"/>
    </sheetView>
  </sheetViews>
  <sheetFormatPr defaultRowHeight="15"/>
  <cols>
    <col min="1" max="1" width="10.375" style="20" customWidth="1"/>
    <col min="2" max="2" width="9.375" style="20" bestFit="1" customWidth="1"/>
    <col min="3" max="3" width="42.25" style="20" customWidth="1"/>
    <col min="4" max="4" width="10.625" style="20" bestFit="1" customWidth="1"/>
    <col min="5" max="5" width="34.375" style="20" bestFit="1" customWidth="1"/>
    <col min="257" max="257" width="5.625" bestFit="1" customWidth="1"/>
    <col min="258" max="258" width="9.375" bestFit="1" customWidth="1"/>
    <col min="259" max="259" width="42.25" customWidth="1"/>
    <col min="260" max="260" width="10.625" bestFit="1" customWidth="1"/>
    <col min="261" max="261" width="34.375" bestFit="1" customWidth="1"/>
    <col min="513" max="513" width="5.625" bestFit="1" customWidth="1"/>
    <col min="514" max="514" width="9.375" bestFit="1" customWidth="1"/>
    <col min="515" max="515" width="42.25" customWidth="1"/>
    <col min="516" max="516" width="10.625" bestFit="1" customWidth="1"/>
    <col min="517" max="517" width="34.375" bestFit="1" customWidth="1"/>
    <col min="769" max="769" width="5.625" bestFit="1" customWidth="1"/>
    <col min="770" max="770" width="9.375" bestFit="1" customWidth="1"/>
    <col min="771" max="771" width="42.25" customWidth="1"/>
    <col min="772" max="772" width="10.625" bestFit="1" customWidth="1"/>
    <col min="773" max="773" width="34.375" bestFit="1" customWidth="1"/>
    <col min="1025" max="1025" width="5.625" bestFit="1" customWidth="1"/>
    <col min="1026" max="1026" width="9.375" bestFit="1" customWidth="1"/>
    <col min="1027" max="1027" width="42.25" customWidth="1"/>
    <col min="1028" max="1028" width="10.625" bestFit="1" customWidth="1"/>
    <col min="1029" max="1029" width="34.375" bestFit="1" customWidth="1"/>
    <col min="1281" max="1281" width="5.625" bestFit="1" customWidth="1"/>
    <col min="1282" max="1282" width="9.375" bestFit="1" customWidth="1"/>
    <col min="1283" max="1283" width="42.25" customWidth="1"/>
    <col min="1284" max="1284" width="10.625" bestFit="1" customWidth="1"/>
    <col min="1285" max="1285" width="34.375" bestFit="1" customWidth="1"/>
    <col min="1537" max="1537" width="5.625" bestFit="1" customWidth="1"/>
    <col min="1538" max="1538" width="9.375" bestFit="1" customWidth="1"/>
    <col min="1539" max="1539" width="42.25" customWidth="1"/>
    <col min="1540" max="1540" width="10.625" bestFit="1" customWidth="1"/>
    <col min="1541" max="1541" width="34.375" bestFit="1" customWidth="1"/>
    <col min="1793" max="1793" width="5.625" bestFit="1" customWidth="1"/>
    <col min="1794" max="1794" width="9.375" bestFit="1" customWidth="1"/>
    <col min="1795" max="1795" width="42.25" customWidth="1"/>
    <col min="1796" max="1796" width="10.625" bestFit="1" customWidth="1"/>
    <col min="1797" max="1797" width="34.375" bestFit="1" customWidth="1"/>
    <col min="2049" max="2049" width="5.625" bestFit="1" customWidth="1"/>
    <col min="2050" max="2050" width="9.375" bestFit="1" customWidth="1"/>
    <col min="2051" max="2051" width="42.25" customWidth="1"/>
    <col min="2052" max="2052" width="10.625" bestFit="1" customWidth="1"/>
    <col min="2053" max="2053" width="34.375" bestFit="1" customWidth="1"/>
    <col min="2305" max="2305" width="5.625" bestFit="1" customWidth="1"/>
    <col min="2306" max="2306" width="9.375" bestFit="1" customWidth="1"/>
    <col min="2307" max="2307" width="42.25" customWidth="1"/>
    <col min="2308" max="2308" width="10.625" bestFit="1" customWidth="1"/>
    <col min="2309" max="2309" width="34.375" bestFit="1" customWidth="1"/>
    <col min="2561" max="2561" width="5.625" bestFit="1" customWidth="1"/>
    <col min="2562" max="2562" width="9.375" bestFit="1" customWidth="1"/>
    <col min="2563" max="2563" width="42.25" customWidth="1"/>
    <col min="2564" max="2564" width="10.625" bestFit="1" customWidth="1"/>
    <col min="2565" max="2565" width="34.375" bestFit="1" customWidth="1"/>
    <col min="2817" max="2817" width="5.625" bestFit="1" customWidth="1"/>
    <col min="2818" max="2818" width="9.375" bestFit="1" customWidth="1"/>
    <col min="2819" max="2819" width="42.25" customWidth="1"/>
    <col min="2820" max="2820" width="10.625" bestFit="1" customWidth="1"/>
    <col min="2821" max="2821" width="34.375" bestFit="1" customWidth="1"/>
    <col min="3073" max="3073" width="5.625" bestFit="1" customWidth="1"/>
    <col min="3074" max="3074" width="9.375" bestFit="1" customWidth="1"/>
    <col min="3075" max="3075" width="42.25" customWidth="1"/>
    <col min="3076" max="3076" width="10.625" bestFit="1" customWidth="1"/>
    <col min="3077" max="3077" width="34.375" bestFit="1" customWidth="1"/>
    <col min="3329" max="3329" width="5.625" bestFit="1" customWidth="1"/>
    <col min="3330" max="3330" width="9.375" bestFit="1" customWidth="1"/>
    <col min="3331" max="3331" width="42.25" customWidth="1"/>
    <col min="3332" max="3332" width="10.625" bestFit="1" customWidth="1"/>
    <col min="3333" max="3333" width="34.375" bestFit="1" customWidth="1"/>
    <col min="3585" max="3585" width="5.625" bestFit="1" customWidth="1"/>
    <col min="3586" max="3586" width="9.375" bestFit="1" customWidth="1"/>
    <col min="3587" max="3587" width="42.25" customWidth="1"/>
    <col min="3588" max="3588" width="10.625" bestFit="1" customWidth="1"/>
    <col min="3589" max="3589" width="34.375" bestFit="1" customWidth="1"/>
    <col min="3841" max="3841" width="5.625" bestFit="1" customWidth="1"/>
    <col min="3842" max="3842" width="9.375" bestFit="1" customWidth="1"/>
    <col min="3843" max="3843" width="42.25" customWidth="1"/>
    <col min="3844" max="3844" width="10.625" bestFit="1" customWidth="1"/>
    <col min="3845" max="3845" width="34.375" bestFit="1" customWidth="1"/>
    <col min="4097" max="4097" width="5.625" bestFit="1" customWidth="1"/>
    <col min="4098" max="4098" width="9.375" bestFit="1" customWidth="1"/>
    <col min="4099" max="4099" width="42.25" customWidth="1"/>
    <col min="4100" max="4100" width="10.625" bestFit="1" customWidth="1"/>
    <col min="4101" max="4101" width="34.375" bestFit="1" customWidth="1"/>
    <col min="4353" max="4353" width="5.625" bestFit="1" customWidth="1"/>
    <col min="4354" max="4354" width="9.375" bestFit="1" customWidth="1"/>
    <col min="4355" max="4355" width="42.25" customWidth="1"/>
    <col min="4356" max="4356" width="10.625" bestFit="1" customWidth="1"/>
    <col min="4357" max="4357" width="34.375" bestFit="1" customWidth="1"/>
    <col min="4609" max="4609" width="5.625" bestFit="1" customWidth="1"/>
    <col min="4610" max="4610" width="9.375" bestFit="1" customWidth="1"/>
    <col min="4611" max="4611" width="42.25" customWidth="1"/>
    <col min="4612" max="4612" width="10.625" bestFit="1" customWidth="1"/>
    <col min="4613" max="4613" width="34.375" bestFit="1" customWidth="1"/>
    <col min="4865" max="4865" width="5.625" bestFit="1" customWidth="1"/>
    <col min="4866" max="4866" width="9.375" bestFit="1" customWidth="1"/>
    <col min="4867" max="4867" width="42.25" customWidth="1"/>
    <col min="4868" max="4868" width="10.625" bestFit="1" customWidth="1"/>
    <col min="4869" max="4869" width="34.375" bestFit="1" customWidth="1"/>
    <col min="5121" max="5121" width="5.625" bestFit="1" customWidth="1"/>
    <col min="5122" max="5122" width="9.375" bestFit="1" customWidth="1"/>
    <col min="5123" max="5123" width="42.25" customWidth="1"/>
    <col min="5124" max="5124" width="10.625" bestFit="1" customWidth="1"/>
    <col min="5125" max="5125" width="34.375" bestFit="1" customWidth="1"/>
    <col min="5377" max="5377" width="5.625" bestFit="1" customWidth="1"/>
    <col min="5378" max="5378" width="9.375" bestFit="1" customWidth="1"/>
    <col min="5379" max="5379" width="42.25" customWidth="1"/>
    <col min="5380" max="5380" width="10.625" bestFit="1" customWidth="1"/>
    <col min="5381" max="5381" width="34.375" bestFit="1" customWidth="1"/>
    <col min="5633" max="5633" width="5.625" bestFit="1" customWidth="1"/>
    <col min="5634" max="5634" width="9.375" bestFit="1" customWidth="1"/>
    <col min="5635" max="5635" width="42.25" customWidth="1"/>
    <col min="5636" max="5636" width="10.625" bestFit="1" customWidth="1"/>
    <col min="5637" max="5637" width="34.375" bestFit="1" customWidth="1"/>
    <col min="5889" max="5889" width="5.625" bestFit="1" customWidth="1"/>
    <col min="5890" max="5890" width="9.375" bestFit="1" customWidth="1"/>
    <col min="5891" max="5891" width="42.25" customWidth="1"/>
    <col min="5892" max="5892" width="10.625" bestFit="1" customWidth="1"/>
    <col min="5893" max="5893" width="34.375" bestFit="1" customWidth="1"/>
    <col min="6145" max="6145" width="5.625" bestFit="1" customWidth="1"/>
    <col min="6146" max="6146" width="9.375" bestFit="1" customWidth="1"/>
    <col min="6147" max="6147" width="42.25" customWidth="1"/>
    <col min="6148" max="6148" width="10.625" bestFit="1" customWidth="1"/>
    <col min="6149" max="6149" width="34.375" bestFit="1" customWidth="1"/>
    <col min="6401" max="6401" width="5.625" bestFit="1" customWidth="1"/>
    <col min="6402" max="6402" width="9.375" bestFit="1" customWidth="1"/>
    <col min="6403" max="6403" width="42.25" customWidth="1"/>
    <col min="6404" max="6404" width="10.625" bestFit="1" customWidth="1"/>
    <col min="6405" max="6405" width="34.375" bestFit="1" customWidth="1"/>
    <col min="6657" max="6657" width="5.625" bestFit="1" customWidth="1"/>
    <col min="6658" max="6658" width="9.375" bestFit="1" customWidth="1"/>
    <col min="6659" max="6659" width="42.25" customWidth="1"/>
    <col min="6660" max="6660" width="10.625" bestFit="1" customWidth="1"/>
    <col min="6661" max="6661" width="34.375" bestFit="1" customWidth="1"/>
    <col min="6913" max="6913" width="5.625" bestFit="1" customWidth="1"/>
    <col min="6914" max="6914" width="9.375" bestFit="1" customWidth="1"/>
    <col min="6915" max="6915" width="42.25" customWidth="1"/>
    <col min="6916" max="6916" width="10.625" bestFit="1" customWidth="1"/>
    <col min="6917" max="6917" width="34.375" bestFit="1" customWidth="1"/>
    <col min="7169" max="7169" width="5.625" bestFit="1" customWidth="1"/>
    <col min="7170" max="7170" width="9.375" bestFit="1" customWidth="1"/>
    <col min="7171" max="7171" width="42.25" customWidth="1"/>
    <col min="7172" max="7172" width="10.625" bestFit="1" customWidth="1"/>
    <col min="7173" max="7173" width="34.375" bestFit="1" customWidth="1"/>
    <col min="7425" max="7425" width="5.625" bestFit="1" customWidth="1"/>
    <col min="7426" max="7426" width="9.375" bestFit="1" customWidth="1"/>
    <col min="7427" max="7427" width="42.25" customWidth="1"/>
    <col min="7428" max="7428" width="10.625" bestFit="1" customWidth="1"/>
    <col min="7429" max="7429" width="34.375" bestFit="1" customWidth="1"/>
    <col min="7681" max="7681" width="5.625" bestFit="1" customWidth="1"/>
    <col min="7682" max="7682" width="9.375" bestFit="1" customWidth="1"/>
    <col min="7683" max="7683" width="42.25" customWidth="1"/>
    <col min="7684" max="7684" width="10.625" bestFit="1" customWidth="1"/>
    <col min="7685" max="7685" width="34.375" bestFit="1" customWidth="1"/>
    <col min="7937" max="7937" width="5.625" bestFit="1" customWidth="1"/>
    <col min="7938" max="7938" width="9.375" bestFit="1" customWidth="1"/>
    <col min="7939" max="7939" width="42.25" customWidth="1"/>
    <col min="7940" max="7940" width="10.625" bestFit="1" customWidth="1"/>
    <col min="7941" max="7941" width="34.375" bestFit="1" customWidth="1"/>
    <col min="8193" max="8193" width="5.625" bestFit="1" customWidth="1"/>
    <col min="8194" max="8194" width="9.375" bestFit="1" customWidth="1"/>
    <col min="8195" max="8195" width="42.25" customWidth="1"/>
    <col min="8196" max="8196" width="10.625" bestFit="1" customWidth="1"/>
    <col min="8197" max="8197" width="34.375" bestFit="1" customWidth="1"/>
    <col min="8449" max="8449" width="5.625" bestFit="1" customWidth="1"/>
    <col min="8450" max="8450" width="9.375" bestFit="1" customWidth="1"/>
    <col min="8451" max="8451" width="42.25" customWidth="1"/>
    <col min="8452" max="8452" width="10.625" bestFit="1" customWidth="1"/>
    <col min="8453" max="8453" width="34.375" bestFit="1" customWidth="1"/>
    <col min="8705" max="8705" width="5.625" bestFit="1" customWidth="1"/>
    <col min="8706" max="8706" width="9.375" bestFit="1" customWidth="1"/>
    <col min="8707" max="8707" width="42.25" customWidth="1"/>
    <col min="8708" max="8708" width="10.625" bestFit="1" customWidth="1"/>
    <col min="8709" max="8709" width="34.375" bestFit="1" customWidth="1"/>
    <col min="8961" max="8961" width="5.625" bestFit="1" customWidth="1"/>
    <col min="8962" max="8962" width="9.375" bestFit="1" customWidth="1"/>
    <col min="8963" max="8963" width="42.25" customWidth="1"/>
    <col min="8964" max="8964" width="10.625" bestFit="1" customWidth="1"/>
    <col min="8965" max="8965" width="34.375" bestFit="1" customWidth="1"/>
    <col min="9217" max="9217" width="5.625" bestFit="1" customWidth="1"/>
    <col min="9218" max="9218" width="9.375" bestFit="1" customWidth="1"/>
    <col min="9219" max="9219" width="42.25" customWidth="1"/>
    <col min="9220" max="9220" width="10.625" bestFit="1" customWidth="1"/>
    <col min="9221" max="9221" width="34.375" bestFit="1" customWidth="1"/>
    <col min="9473" max="9473" width="5.625" bestFit="1" customWidth="1"/>
    <col min="9474" max="9474" width="9.375" bestFit="1" customWidth="1"/>
    <col min="9475" max="9475" width="42.25" customWidth="1"/>
    <col min="9476" max="9476" width="10.625" bestFit="1" customWidth="1"/>
    <col min="9477" max="9477" width="34.375" bestFit="1" customWidth="1"/>
    <col min="9729" max="9729" width="5.625" bestFit="1" customWidth="1"/>
    <col min="9730" max="9730" width="9.375" bestFit="1" customWidth="1"/>
    <col min="9731" max="9731" width="42.25" customWidth="1"/>
    <col min="9732" max="9732" width="10.625" bestFit="1" customWidth="1"/>
    <col min="9733" max="9733" width="34.375" bestFit="1" customWidth="1"/>
    <col min="9985" max="9985" width="5.625" bestFit="1" customWidth="1"/>
    <col min="9986" max="9986" width="9.375" bestFit="1" customWidth="1"/>
    <col min="9987" max="9987" width="42.25" customWidth="1"/>
    <col min="9988" max="9988" width="10.625" bestFit="1" customWidth="1"/>
    <col min="9989" max="9989" width="34.375" bestFit="1" customWidth="1"/>
    <col min="10241" max="10241" width="5.625" bestFit="1" customWidth="1"/>
    <col min="10242" max="10242" width="9.375" bestFit="1" customWidth="1"/>
    <col min="10243" max="10243" width="42.25" customWidth="1"/>
    <col min="10244" max="10244" width="10.625" bestFit="1" customWidth="1"/>
    <col min="10245" max="10245" width="34.375" bestFit="1" customWidth="1"/>
    <col min="10497" max="10497" width="5.625" bestFit="1" customWidth="1"/>
    <col min="10498" max="10498" width="9.375" bestFit="1" customWidth="1"/>
    <col min="10499" max="10499" width="42.25" customWidth="1"/>
    <col min="10500" max="10500" width="10.625" bestFit="1" customWidth="1"/>
    <col min="10501" max="10501" width="34.375" bestFit="1" customWidth="1"/>
    <col min="10753" max="10753" width="5.625" bestFit="1" customWidth="1"/>
    <col min="10754" max="10754" width="9.375" bestFit="1" customWidth="1"/>
    <col min="10755" max="10755" width="42.25" customWidth="1"/>
    <col min="10756" max="10756" width="10.625" bestFit="1" customWidth="1"/>
    <col min="10757" max="10757" width="34.375" bestFit="1" customWidth="1"/>
    <col min="11009" max="11009" width="5.625" bestFit="1" customWidth="1"/>
    <col min="11010" max="11010" width="9.375" bestFit="1" customWidth="1"/>
    <col min="11011" max="11011" width="42.25" customWidth="1"/>
    <col min="11012" max="11012" width="10.625" bestFit="1" customWidth="1"/>
    <col min="11013" max="11013" width="34.375" bestFit="1" customWidth="1"/>
    <col min="11265" max="11265" width="5.625" bestFit="1" customWidth="1"/>
    <col min="11266" max="11266" width="9.375" bestFit="1" customWidth="1"/>
    <col min="11267" max="11267" width="42.25" customWidth="1"/>
    <col min="11268" max="11268" width="10.625" bestFit="1" customWidth="1"/>
    <col min="11269" max="11269" width="34.375" bestFit="1" customWidth="1"/>
    <col min="11521" max="11521" width="5.625" bestFit="1" customWidth="1"/>
    <col min="11522" max="11522" width="9.375" bestFit="1" customWidth="1"/>
    <col min="11523" max="11523" width="42.25" customWidth="1"/>
    <col min="11524" max="11524" width="10.625" bestFit="1" customWidth="1"/>
    <col min="11525" max="11525" width="34.375" bestFit="1" customWidth="1"/>
    <col min="11777" max="11777" width="5.625" bestFit="1" customWidth="1"/>
    <col min="11778" max="11778" width="9.375" bestFit="1" customWidth="1"/>
    <col min="11779" max="11779" width="42.25" customWidth="1"/>
    <col min="11780" max="11780" width="10.625" bestFit="1" customWidth="1"/>
    <col min="11781" max="11781" width="34.375" bestFit="1" customWidth="1"/>
    <col min="12033" max="12033" width="5.625" bestFit="1" customWidth="1"/>
    <col min="12034" max="12034" width="9.375" bestFit="1" customWidth="1"/>
    <col min="12035" max="12035" width="42.25" customWidth="1"/>
    <col min="12036" max="12036" width="10.625" bestFit="1" customWidth="1"/>
    <col min="12037" max="12037" width="34.375" bestFit="1" customWidth="1"/>
    <col min="12289" max="12289" width="5.625" bestFit="1" customWidth="1"/>
    <col min="12290" max="12290" width="9.375" bestFit="1" customWidth="1"/>
    <col min="12291" max="12291" width="42.25" customWidth="1"/>
    <col min="12292" max="12292" width="10.625" bestFit="1" customWidth="1"/>
    <col min="12293" max="12293" width="34.375" bestFit="1" customWidth="1"/>
    <col min="12545" max="12545" width="5.625" bestFit="1" customWidth="1"/>
    <col min="12546" max="12546" width="9.375" bestFit="1" customWidth="1"/>
    <col min="12547" max="12547" width="42.25" customWidth="1"/>
    <col min="12548" max="12548" width="10.625" bestFit="1" customWidth="1"/>
    <col min="12549" max="12549" width="34.375" bestFit="1" customWidth="1"/>
    <col min="12801" max="12801" width="5.625" bestFit="1" customWidth="1"/>
    <col min="12802" max="12802" width="9.375" bestFit="1" customWidth="1"/>
    <col min="12803" max="12803" width="42.25" customWidth="1"/>
    <col min="12804" max="12804" width="10.625" bestFit="1" customWidth="1"/>
    <col min="12805" max="12805" width="34.375" bestFit="1" customWidth="1"/>
    <col min="13057" max="13057" width="5.625" bestFit="1" customWidth="1"/>
    <col min="13058" max="13058" width="9.375" bestFit="1" customWidth="1"/>
    <col min="13059" max="13059" width="42.25" customWidth="1"/>
    <col min="13060" max="13060" width="10.625" bestFit="1" customWidth="1"/>
    <col min="13061" max="13061" width="34.375" bestFit="1" customWidth="1"/>
    <col min="13313" max="13313" width="5.625" bestFit="1" customWidth="1"/>
    <col min="13314" max="13314" width="9.375" bestFit="1" customWidth="1"/>
    <col min="13315" max="13315" width="42.25" customWidth="1"/>
    <col min="13316" max="13316" width="10.625" bestFit="1" customWidth="1"/>
    <col min="13317" max="13317" width="34.375" bestFit="1" customWidth="1"/>
    <col min="13569" max="13569" width="5.625" bestFit="1" customWidth="1"/>
    <col min="13570" max="13570" width="9.375" bestFit="1" customWidth="1"/>
    <col min="13571" max="13571" width="42.25" customWidth="1"/>
    <col min="13572" max="13572" width="10.625" bestFit="1" customWidth="1"/>
    <col min="13573" max="13573" width="34.375" bestFit="1" customWidth="1"/>
    <col min="13825" max="13825" width="5.625" bestFit="1" customWidth="1"/>
    <col min="13826" max="13826" width="9.375" bestFit="1" customWidth="1"/>
    <col min="13827" max="13827" width="42.25" customWidth="1"/>
    <col min="13828" max="13828" width="10.625" bestFit="1" customWidth="1"/>
    <col min="13829" max="13829" width="34.375" bestFit="1" customWidth="1"/>
    <col min="14081" max="14081" width="5.625" bestFit="1" customWidth="1"/>
    <col min="14082" max="14082" width="9.375" bestFit="1" customWidth="1"/>
    <col min="14083" max="14083" width="42.25" customWidth="1"/>
    <col min="14084" max="14084" width="10.625" bestFit="1" customWidth="1"/>
    <col min="14085" max="14085" width="34.375" bestFit="1" customWidth="1"/>
    <col min="14337" max="14337" width="5.625" bestFit="1" customWidth="1"/>
    <col min="14338" max="14338" width="9.375" bestFit="1" customWidth="1"/>
    <col min="14339" max="14339" width="42.25" customWidth="1"/>
    <col min="14340" max="14340" width="10.625" bestFit="1" customWidth="1"/>
    <col min="14341" max="14341" width="34.375" bestFit="1" customWidth="1"/>
    <col min="14593" max="14593" width="5.625" bestFit="1" customWidth="1"/>
    <col min="14594" max="14594" width="9.375" bestFit="1" customWidth="1"/>
    <col min="14595" max="14595" width="42.25" customWidth="1"/>
    <col min="14596" max="14596" width="10.625" bestFit="1" customWidth="1"/>
    <col min="14597" max="14597" width="34.375" bestFit="1" customWidth="1"/>
    <col min="14849" max="14849" width="5.625" bestFit="1" customWidth="1"/>
    <col min="14850" max="14850" width="9.375" bestFit="1" customWidth="1"/>
    <col min="14851" max="14851" width="42.25" customWidth="1"/>
    <col min="14852" max="14852" width="10.625" bestFit="1" customWidth="1"/>
    <col min="14853" max="14853" width="34.375" bestFit="1" customWidth="1"/>
    <col min="15105" max="15105" width="5.625" bestFit="1" customWidth="1"/>
    <col min="15106" max="15106" width="9.375" bestFit="1" customWidth="1"/>
    <col min="15107" max="15107" width="42.25" customWidth="1"/>
    <col min="15108" max="15108" width="10.625" bestFit="1" customWidth="1"/>
    <col min="15109" max="15109" width="34.375" bestFit="1" customWidth="1"/>
    <col min="15361" max="15361" width="5.625" bestFit="1" customWidth="1"/>
    <col min="15362" max="15362" width="9.375" bestFit="1" customWidth="1"/>
    <col min="15363" max="15363" width="42.25" customWidth="1"/>
    <col min="15364" max="15364" width="10.625" bestFit="1" customWidth="1"/>
    <col min="15365" max="15365" width="34.375" bestFit="1" customWidth="1"/>
    <col min="15617" max="15617" width="5.625" bestFit="1" customWidth="1"/>
    <col min="15618" max="15618" width="9.375" bestFit="1" customWidth="1"/>
    <col min="15619" max="15619" width="42.25" customWidth="1"/>
    <col min="15620" max="15620" width="10.625" bestFit="1" customWidth="1"/>
    <col min="15621" max="15621" width="34.375" bestFit="1" customWidth="1"/>
    <col min="15873" max="15873" width="5.625" bestFit="1" customWidth="1"/>
    <col min="15874" max="15874" width="9.375" bestFit="1" customWidth="1"/>
    <col min="15875" max="15875" width="42.25" customWidth="1"/>
    <col min="15876" max="15876" width="10.625" bestFit="1" customWidth="1"/>
    <col min="15877" max="15877" width="34.375" bestFit="1" customWidth="1"/>
    <col min="16129" max="16129" width="5.625" bestFit="1" customWidth="1"/>
    <col min="16130" max="16130" width="9.375" bestFit="1" customWidth="1"/>
    <col min="16131" max="16131" width="42.25" customWidth="1"/>
    <col min="16132" max="16132" width="10.625" bestFit="1" customWidth="1"/>
    <col min="16133" max="16133" width="34.375" bestFit="1" customWidth="1"/>
  </cols>
  <sheetData>
    <row r="1" spans="1:5" s="4" customFormat="1">
      <c r="A1" s="32" t="s">
        <v>130</v>
      </c>
      <c r="B1" s="33" t="str">
        <f>CourseList!B1</f>
        <v>Course ID</v>
      </c>
      <c r="C1" s="35" t="s">
        <v>106</v>
      </c>
      <c r="D1" s="33" t="s">
        <v>107</v>
      </c>
      <c r="E1" s="35" t="s">
        <v>108</v>
      </c>
    </row>
    <row r="2" spans="1:5">
      <c r="A2" s="62">
        <v>1</v>
      </c>
      <c r="B2" s="34" t="str">
        <f>CourseList!B2</f>
        <v>ENG-111</v>
      </c>
      <c r="C2" s="36" t="s">
        <v>109</v>
      </c>
      <c r="D2" s="37" t="s">
        <v>110</v>
      </c>
      <c r="E2" s="36" t="s">
        <v>151</v>
      </c>
    </row>
    <row r="3" spans="1:5">
      <c r="A3" s="63"/>
      <c r="B3" s="34" t="str">
        <f>CourseList!B3</f>
        <v>ENG-113</v>
      </c>
      <c r="C3" s="36" t="s">
        <v>111</v>
      </c>
      <c r="D3" s="37" t="s">
        <v>112</v>
      </c>
      <c r="E3" s="36" t="s">
        <v>151</v>
      </c>
    </row>
    <row r="4" spans="1:5">
      <c r="A4" s="63"/>
      <c r="B4" s="34" t="str">
        <f>CourseList!B4</f>
        <v>ENG-115</v>
      </c>
      <c r="C4" s="36" t="s">
        <v>113</v>
      </c>
      <c r="D4" s="37" t="s">
        <v>114</v>
      </c>
      <c r="E4" s="36" t="s">
        <v>151</v>
      </c>
    </row>
    <row r="5" spans="1:5">
      <c r="A5" s="64"/>
      <c r="B5" s="34" t="str">
        <f>CourseList!B5</f>
        <v>ENG-117</v>
      </c>
      <c r="C5" s="36" t="s">
        <v>115</v>
      </c>
      <c r="D5" s="37" t="s">
        <v>116</v>
      </c>
      <c r="E5" s="36" t="s">
        <v>151</v>
      </c>
    </row>
    <row r="6" spans="1:5">
      <c r="A6" s="62">
        <v>2</v>
      </c>
      <c r="B6" s="34" t="str">
        <f>CourseList!B6</f>
        <v>ENG-211</v>
      </c>
      <c r="C6" s="36" t="s">
        <v>117</v>
      </c>
      <c r="D6" s="37" t="s">
        <v>118</v>
      </c>
      <c r="E6" s="36" t="s">
        <v>151</v>
      </c>
    </row>
    <row r="7" spans="1:5">
      <c r="A7" s="63"/>
      <c r="B7" s="34" t="str">
        <f>CourseList!B7</f>
        <v>ENG-213</v>
      </c>
      <c r="C7" s="36" t="s">
        <v>111</v>
      </c>
      <c r="D7" s="37" t="s">
        <v>112</v>
      </c>
      <c r="E7" s="36" t="s">
        <v>151</v>
      </c>
    </row>
    <row r="8" spans="1:5">
      <c r="A8" s="63"/>
      <c r="B8" s="34" t="str">
        <f>CourseList!B8</f>
        <v>ENG-215</v>
      </c>
      <c r="C8" s="36" t="s">
        <v>119</v>
      </c>
      <c r="D8" s="37" t="s">
        <v>120</v>
      </c>
      <c r="E8" s="36" t="s">
        <v>151</v>
      </c>
    </row>
    <row r="9" spans="1:5">
      <c r="A9" s="64"/>
      <c r="B9" s="34" t="str">
        <f>CourseList!B9</f>
        <v>ENG-217</v>
      </c>
      <c r="C9" s="36" t="s">
        <v>115</v>
      </c>
      <c r="D9" s="37" t="s">
        <v>116</v>
      </c>
      <c r="E9" s="36" t="s">
        <v>151</v>
      </c>
    </row>
    <row r="10" spans="1:5">
      <c r="A10" s="62">
        <v>3</v>
      </c>
      <c r="B10" s="34" t="str">
        <f>CourseList!B10</f>
        <v>ENG-311</v>
      </c>
      <c r="C10" s="36" t="s">
        <v>111</v>
      </c>
      <c r="D10" s="37" t="s">
        <v>112</v>
      </c>
      <c r="E10" s="36" t="s">
        <v>151</v>
      </c>
    </row>
    <row r="11" spans="1:5">
      <c r="A11" s="63"/>
      <c r="B11" s="34" t="str">
        <f>CourseList!B11</f>
        <v>ENG-315</v>
      </c>
      <c r="C11" s="36" t="s">
        <v>119</v>
      </c>
      <c r="D11" s="37" t="s">
        <v>120</v>
      </c>
      <c r="E11" s="36" t="s">
        <v>151</v>
      </c>
    </row>
    <row r="12" spans="1:5">
      <c r="A12" s="63"/>
      <c r="B12" s="34" t="str">
        <f>CourseList!B12</f>
        <v>ENG-313</v>
      </c>
      <c r="C12" s="36" t="s">
        <v>115</v>
      </c>
      <c r="D12" s="37" t="s">
        <v>116</v>
      </c>
      <c r="E12" s="36" t="s">
        <v>151</v>
      </c>
    </row>
    <row r="13" spans="1:5">
      <c r="A13" s="64"/>
      <c r="B13" s="34" t="str">
        <f>CourseList!B13</f>
        <v>ENG-300</v>
      </c>
      <c r="C13" s="36" t="s">
        <v>115</v>
      </c>
      <c r="D13" s="37" t="s">
        <v>116</v>
      </c>
      <c r="E13" s="36" t="s">
        <v>151</v>
      </c>
    </row>
  </sheetData>
  <mergeCells count="3">
    <mergeCell ref="A2:A5"/>
    <mergeCell ref="A6:A9"/>
    <mergeCell ref="A10:A13"/>
  </mergeCells>
  <pageMargins left="0.5" right="0.5" top="0.25" bottom="0.25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33"/>
  <sheetViews>
    <sheetView zoomScale="80" zoomScaleNormal="80" workbookViewId="0">
      <selection activeCell="I3" sqref="I3"/>
    </sheetView>
  </sheetViews>
  <sheetFormatPr defaultRowHeight="15"/>
  <cols>
    <col min="1" max="1" width="9" style="20"/>
    <col min="2" max="2" width="13.125" style="51" customWidth="1"/>
    <col min="3" max="4" width="9" style="20"/>
    <col min="5" max="5" width="15.375" style="20" customWidth="1"/>
    <col min="6" max="7" width="9" style="20"/>
    <col min="8" max="8" width="12.875" style="20" customWidth="1"/>
    <col min="9" max="9" width="9" style="20"/>
    <col min="10" max="10" width="1.25" style="40" customWidth="1"/>
    <col min="11" max="12" width="9" style="20"/>
    <col min="13" max="13" width="15.25" style="20" customWidth="1"/>
    <col min="14" max="15" width="9" style="20"/>
    <col min="16" max="16" width="14" style="20" customWidth="1"/>
    <col min="17" max="17" width="9" style="20"/>
    <col min="18" max="18" width="1.125" style="40" customWidth="1"/>
    <col min="19" max="20" width="9" style="20"/>
    <col min="21" max="21" width="14.625" style="20" customWidth="1"/>
    <col min="22" max="23" width="9" style="20"/>
    <col min="24" max="24" width="12.75" style="20" customWidth="1"/>
    <col min="25" max="25" width="9" style="20"/>
    <col min="26" max="26" width="1.375" style="40" customWidth="1"/>
    <col min="27" max="28" width="9" style="20"/>
    <col min="29" max="29" width="16.625" style="20" customWidth="1"/>
    <col min="30" max="31" width="9" style="20"/>
    <col min="32" max="32" width="12.375" style="20" customWidth="1"/>
    <col min="33" max="33" width="9.375" style="20" customWidth="1"/>
    <col min="34" max="34" width="1.25" style="43" customWidth="1"/>
    <col min="35" max="35" width="13.25" style="51" customWidth="1"/>
    <col min="36" max="36" width="11.75" style="20" customWidth="1"/>
    <col min="37" max="37" width="14.125" style="20" customWidth="1"/>
    <col min="266" max="266" width="13.125" customWidth="1"/>
    <col min="269" max="269" width="15.375" customWidth="1"/>
    <col min="271" max="271" width="12.875" customWidth="1"/>
    <col min="275" max="275" width="15.25" customWidth="1"/>
    <col min="277" max="277" width="14" customWidth="1"/>
    <col min="281" max="281" width="14.625" customWidth="1"/>
    <col min="283" max="283" width="12.75" customWidth="1"/>
    <col min="287" max="287" width="16.625" customWidth="1"/>
    <col min="289" max="289" width="12.375" customWidth="1"/>
    <col min="291" max="291" width="13.25" customWidth="1"/>
    <col min="292" max="292" width="11.75" customWidth="1"/>
    <col min="293" max="293" width="14.125" customWidth="1"/>
    <col min="522" max="522" width="13.125" customWidth="1"/>
    <col min="525" max="525" width="15.375" customWidth="1"/>
    <col min="527" max="527" width="12.875" customWidth="1"/>
    <col min="531" max="531" width="15.25" customWidth="1"/>
    <col min="533" max="533" width="14" customWidth="1"/>
    <col min="537" max="537" width="14.625" customWidth="1"/>
    <col min="539" max="539" width="12.75" customWidth="1"/>
    <col min="543" max="543" width="16.625" customWidth="1"/>
    <col min="545" max="545" width="12.375" customWidth="1"/>
    <col min="547" max="547" width="13.25" customWidth="1"/>
    <col min="548" max="548" width="11.75" customWidth="1"/>
    <col min="549" max="549" width="14.125" customWidth="1"/>
    <col min="778" max="778" width="13.125" customWidth="1"/>
    <col min="781" max="781" width="15.375" customWidth="1"/>
    <col min="783" max="783" width="12.875" customWidth="1"/>
    <col min="787" max="787" width="15.25" customWidth="1"/>
    <col min="789" max="789" width="14" customWidth="1"/>
    <col min="793" max="793" width="14.625" customWidth="1"/>
    <col min="795" max="795" width="12.75" customWidth="1"/>
    <col min="799" max="799" width="16.625" customWidth="1"/>
    <col min="801" max="801" width="12.375" customWidth="1"/>
    <col min="803" max="803" width="13.25" customWidth="1"/>
    <col min="804" max="804" width="11.75" customWidth="1"/>
    <col min="805" max="805" width="14.125" customWidth="1"/>
    <col min="1034" max="1034" width="13.125" customWidth="1"/>
    <col min="1037" max="1037" width="15.375" customWidth="1"/>
    <col min="1039" max="1039" width="12.875" customWidth="1"/>
    <col min="1043" max="1043" width="15.25" customWidth="1"/>
    <col min="1045" max="1045" width="14" customWidth="1"/>
    <col min="1049" max="1049" width="14.625" customWidth="1"/>
    <col min="1051" max="1051" width="12.75" customWidth="1"/>
    <col min="1055" max="1055" width="16.625" customWidth="1"/>
    <col min="1057" max="1057" width="12.375" customWidth="1"/>
    <col min="1059" max="1059" width="13.25" customWidth="1"/>
    <col min="1060" max="1060" width="11.75" customWidth="1"/>
    <col min="1061" max="1061" width="14.125" customWidth="1"/>
    <col min="1290" max="1290" width="13.125" customWidth="1"/>
    <col min="1293" max="1293" width="15.375" customWidth="1"/>
    <col min="1295" max="1295" width="12.875" customWidth="1"/>
    <col min="1299" max="1299" width="15.25" customWidth="1"/>
    <col min="1301" max="1301" width="14" customWidth="1"/>
    <col min="1305" max="1305" width="14.625" customWidth="1"/>
    <col min="1307" max="1307" width="12.75" customWidth="1"/>
    <col min="1311" max="1311" width="16.625" customWidth="1"/>
    <col min="1313" max="1313" width="12.375" customWidth="1"/>
    <col min="1315" max="1315" width="13.25" customWidth="1"/>
    <col min="1316" max="1316" width="11.75" customWidth="1"/>
    <col min="1317" max="1317" width="14.125" customWidth="1"/>
    <col min="1546" max="1546" width="13.125" customWidth="1"/>
    <col min="1549" max="1549" width="15.375" customWidth="1"/>
    <col min="1551" max="1551" width="12.875" customWidth="1"/>
    <col min="1555" max="1555" width="15.25" customWidth="1"/>
    <col min="1557" max="1557" width="14" customWidth="1"/>
    <col min="1561" max="1561" width="14.625" customWidth="1"/>
    <col min="1563" max="1563" width="12.75" customWidth="1"/>
    <col min="1567" max="1567" width="16.625" customWidth="1"/>
    <col min="1569" max="1569" width="12.375" customWidth="1"/>
    <col min="1571" max="1571" width="13.25" customWidth="1"/>
    <col min="1572" max="1572" width="11.75" customWidth="1"/>
    <col min="1573" max="1573" width="14.125" customWidth="1"/>
    <col min="1802" max="1802" width="13.125" customWidth="1"/>
    <col min="1805" max="1805" width="15.375" customWidth="1"/>
    <col min="1807" max="1807" width="12.875" customWidth="1"/>
    <col min="1811" max="1811" width="15.25" customWidth="1"/>
    <col min="1813" max="1813" width="14" customWidth="1"/>
    <col min="1817" max="1817" width="14.625" customWidth="1"/>
    <col min="1819" max="1819" width="12.75" customWidth="1"/>
    <col min="1823" max="1823" width="16.625" customWidth="1"/>
    <col min="1825" max="1825" width="12.375" customWidth="1"/>
    <col min="1827" max="1827" width="13.25" customWidth="1"/>
    <col min="1828" max="1828" width="11.75" customWidth="1"/>
    <col min="1829" max="1829" width="14.125" customWidth="1"/>
    <col min="2058" max="2058" width="13.125" customWidth="1"/>
    <col min="2061" max="2061" width="15.375" customWidth="1"/>
    <col min="2063" max="2063" width="12.875" customWidth="1"/>
    <col min="2067" max="2067" width="15.25" customWidth="1"/>
    <col min="2069" max="2069" width="14" customWidth="1"/>
    <col min="2073" max="2073" width="14.625" customWidth="1"/>
    <col min="2075" max="2075" width="12.75" customWidth="1"/>
    <col min="2079" max="2079" width="16.625" customWidth="1"/>
    <col min="2081" max="2081" width="12.375" customWidth="1"/>
    <col min="2083" max="2083" width="13.25" customWidth="1"/>
    <col min="2084" max="2084" width="11.75" customWidth="1"/>
    <col min="2085" max="2085" width="14.125" customWidth="1"/>
    <col min="2314" max="2314" width="13.125" customWidth="1"/>
    <col min="2317" max="2317" width="15.375" customWidth="1"/>
    <col min="2319" max="2319" width="12.875" customWidth="1"/>
    <col min="2323" max="2323" width="15.25" customWidth="1"/>
    <col min="2325" max="2325" width="14" customWidth="1"/>
    <col min="2329" max="2329" width="14.625" customWidth="1"/>
    <col min="2331" max="2331" width="12.75" customWidth="1"/>
    <col min="2335" max="2335" width="16.625" customWidth="1"/>
    <col min="2337" max="2337" width="12.375" customWidth="1"/>
    <col min="2339" max="2339" width="13.25" customWidth="1"/>
    <col min="2340" max="2340" width="11.75" customWidth="1"/>
    <col min="2341" max="2341" width="14.125" customWidth="1"/>
    <col min="2570" max="2570" width="13.125" customWidth="1"/>
    <col min="2573" max="2573" width="15.375" customWidth="1"/>
    <col min="2575" max="2575" width="12.875" customWidth="1"/>
    <col min="2579" max="2579" width="15.25" customWidth="1"/>
    <col min="2581" max="2581" width="14" customWidth="1"/>
    <col min="2585" max="2585" width="14.625" customWidth="1"/>
    <col min="2587" max="2587" width="12.75" customWidth="1"/>
    <col min="2591" max="2591" width="16.625" customWidth="1"/>
    <col min="2593" max="2593" width="12.375" customWidth="1"/>
    <col min="2595" max="2595" width="13.25" customWidth="1"/>
    <col min="2596" max="2596" width="11.75" customWidth="1"/>
    <col min="2597" max="2597" width="14.125" customWidth="1"/>
    <col min="2826" max="2826" width="13.125" customWidth="1"/>
    <col min="2829" max="2829" width="15.375" customWidth="1"/>
    <col min="2831" max="2831" width="12.875" customWidth="1"/>
    <col min="2835" max="2835" width="15.25" customWidth="1"/>
    <col min="2837" max="2837" width="14" customWidth="1"/>
    <col min="2841" max="2841" width="14.625" customWidth="1"/>
    <col min="2843" max="2843" width="12.75" customWidth="1"/>
    <col min="2847" max="2847" width="16.625" customWidth="1"/>
    <col min="2849" max="2849" width="12.375" customWidth="1"/>
    <col min="2851" max="2851" width="13.25" customWidth="1"/>
    <col min="2852" max="2852" width="11.75" customWidth="1"/>
    <col min="2853" max="2853" width="14.125" customWidth="1"/>
    <col min="3082" max="3082" width="13.125" customWidth="1"/>
    <col min="3085" max="3085" width="15.375" customWidth="1"/>
    <col min="3087" max="3087" width="12.875" customWidth="1"/>
    <col min="3091" max="3091" width="15.25" customWidth="1"/>
    <col min="3093" max="3093" width="14" customWidth="1"/>
    <col min="3097" max="3097" width="14.625" customWidth="1"/>
    <col min="3099" max="3099" width="12.75" customWidth="1"/>
    <col min="3103" max="3103" width="16.625" customWidth="1"/>
    <col min="3105" max="3105" width="12.375" customWidth="1"/>
    <col min="3107" max="3107" width="13.25" customWidth="1"/>
    <col min="3108" max="3108" width="11.75" customWidth="1"/>
    <col min="3109" max="3109" width="14.125" customWidth="1"/>
    <col min="3338" max="3338" width="13.125" customWidth="1"/>
    <col min="3341" max="3341" width="15.375" customWidth="1"/>
    <col min="3343" max="3343" width="12.875" customWidth="1"/>
    <col min="3347" max="3347" width="15.25" customWidth="1"/>
    <col min="3349" max="3349" width="14" customWidth="1"/>
    <col min="3353" max="3353" width="14.625" customWidth="1"/>
    <col min="3355" max="3355" width="12.75" customWidth="1"/>
    <col min="3359" max="3359" width="16.625" customWidth="1"/>
    <col min="3361" max="3361" width="12.375" customWidth="1"/>
    <col min="3363" max="3363" width="13.25" customWidth="1"/>
    <col min="3364" max="3364" width="11.75" customWidth="1"/>
    <col min="3365" max="3365" width="14.125" customWidth="1"/>
    <col min="3594" max="3594" width="13.125" customWidth="1"/>
    <col min="3597" max="3597" width="15.375" customWidth="1"/>
    <col min="3599" max="3599" width="12.875" customWidth="1"/>
    <col min="3603" max="3603" width="15.25" customWidth="1"/>
    <col min="3605" max="3605" width="14" customWidth="1"/>
    <col min="3609" max="3609" width="14.625" customWidth="1"/>
    <col min="3611" max="3611" width="12.75" customWidth="1"/>
    <col min="3615" max="3615" width="16.625" customWidth="1"/>
    <col min="3617" max="3617" width="12.375" customWidth="1"/>
    <col min="3619" max="3619" width="13.25" customWidth="1"/>
    <col min="3620" max="3620" width="11.75" customWidth="1"/>
    <col min="3621" max="3621" width="14.125" customWidth="1"/>
    <col min="3850" max="3850" width="13.125" customWidth="1"/>
    <col min="3853" max="3853" width="15.375" customWidth="1"/>
    <col min="3855" max="3855" width="12.875" customWidth="1"/>
    <col min="3859" max="3859" width="15.25" customWidth="1"/>
    <col min="3861" max="3861" width="14" customWidth="1"/>
    <col min="3865" max="3865" width="14.625" customWidth="1"/>
    <col min="3867" max="3867" width="12.75" customWidth="1"/>
    <col min="3871" max="3871" width="16.625" customWidth="1"/>
    <col min="3873" max="3873" width="12.375" customWidth="1"/>
    <col min="3875" max="3875" width="13.25" customWidth="1"/>
    <col min="3876" max="3876" width="11.75" customWidth="1"/>
    <col min="3877" max="3877" width="14.125" customWidth="1"/>
    <col min="4106" max="4106" width="13.125" customWidth="1"/>
    <col min="4109" max="4109" width="15.375" customWidth="1"/>
    <col min="4111" max="4111" width="12.875" customWidth="1"/>
    <col min="4115" max="4115" width="15.25" customWidth="1"/>
    <col min="4117" max="4117" width="14" customWidth="1"/>
    <col min="4121" max="4121" width="14.625" customWidth="1"/>
    <col min="4123" max="4123" width="12.75" customWidth="1"/>
    <col min="4127" max="4127" width="16.625" customWidth="1"/>
    <col min="4129" max="4129" width="12.375" customWidth="1"/>
    <col min="4131" max="4131" width="13.25" customWidth="1"/>
    <col min="4132" max="4132" width="11.75" customWidth="1"/>
    <col min="4133" max="4133" width="14.125" customWidth="1"/>
    <col min="4362" max="4362" width="13.125" customWidth="1"/>
    <col min="4365" max="4365" width="15.375" customWidth="1"/>
    <col min="4367" max="4367" width="12.875" customWidth="1"/>
    <col min="4371" max="4371" width="15.25" customWidth="1"/>
    <col min="4373" max="4373" width="14" customWidth="1"/>
    <col min="4377" max="4377" width="14.625" customWidth="1"/>
    <col min="4379" max="4379" width="12.75" customWidth="1"/>
    <col min="4383" max="4383" width="16.625" customWidth="1"/>
    <col min="4385" max="4385" width="12.375" customWidth="1"/>
    <col min="4387" max="4387" width="13.25" customWidth="1"/>
    <col min="4388" max="4388" width="11.75" customWidth="1"/>
    <col min="4389" max="4389" width="14.125" customWidth="1"/>
    <col min="4618" max="4618" width="13.125" customWidth="1"/>
    <col min="4621" max="4621" width="15.375" customWidth="1"/>
    <col min="4623" max="4623" width="12.875" customWidth="1"/>
    <col min="4627" max="4627" width="15.25" customWidth="1"/>
    <col min="4629" max="4629" width="14" customWidth="1"/>
    <col min="4633" max="4633" width="14.625" customWidth="1"/>
    <col min="4635" max="4635" width="12.75" customWidth="1"/>
    <col min="4639" max="4639" width="16.625" customWidth="1"/>
    <col min="4641" max="4641" width="12.375" customWidth="1"/>
    <col min="4643" max="4643" width="13.25" customWidth="1"/>
    <col min="4644" max="4644" width="11.75" customWidth="1"/>
    <col min="4645" max="4645" width="14.125" customWidth="1"/>
    <col min="4874" max="4874" width="13.125" customWidth="1"/>
    <col min="4877" max="4877" width="15.375" customWidth="1"/>
    <col min="4879" max="4879" width="12.875" customWidth="1"/>
    <col min="4883" max="4883" width="15.25" customWidth="1"/>
    <col min="4885" max="4885" width="14" customWidth="1"/>
    <col min="4889" max="4889" width="14.625" customWidth="1"/>
    <col min="4891" max="4891" width="12.75" customWidth="1"/>
    <col min="4895" max="4895" width="16.625" customWidth="1"/>
    <col min="4897" max="4897" width="12.375" customWidth="1"/>
    <col min="4899" max="4899" width="13.25" customWidth="1"/>
    <col min="4900" max="4900" width="11.75" customWidth="1"/>
    <col min="4901" max="4901" width="14.125" customWidth="1"/>
    <col min="5130" max="5130" width="13.125" customWidth="1"/>
    <col min="5133" max="5133" width="15.375" customWidth="1"/>
    <col min="5135" max="5135" width="12.875" customWidth="1"/>
    <col min="5139" max="5139" width="15.25" customWidth="1"/>
    <col min="5141" max="5141" width="14" customWidth="1"/>
    <col min="5145" max="5145" width="14.625" customWidth="1"/>
    <col min="5147" max="5147" width="12.75" customWidth="1"/>
    <col min="5151" max="5151" width="16.625" customWidth="1"/>
    <col min="5153" max="5153" width="12.375" customWidth="1"/>
    <col min="5155" max="5155" width="13.25" customWidth="1"/>
    <col min="5156" max="5156" width="11.75" customWidth="1"/>
    <col min="5157" max="5157" width="14.125" customWidth="1"/>
    <col min="5386" max="5386" width="13.125" customWidth="1"/>
    <col min="5389" max="5389" width="15.375" customWidth="1"/>
    <col min="5391" max="5391" width="12.875" customWidth="1"/>
    <col min="5395" max="5395" width="15.25" customWidth="1"/>
    <col min="5397" max="5397" width="14" customWidth="1"/>
    <col min="5401" max="5401" width="14.625" customWidth="1"/>
    <col min="5403" max="5403" width="12.75" customWidth="1"/>
    <col min="5407" max="5407" width="16.625" customWidth="1"/>
    <col min="5409" max="5409" width="12.375" customWidth="1"/>
    <col min="5411" max="5411" width="13.25" customWidth="1"/>
    <col min="5412" max="5412" width="11.75" customWidth="1"/>
    <col min="5413" max="5413" width="14.125" customWidth="1"/>
    <col min="5642" max="5642" width="13.125" customWidth="1"/>
    <col min="5645" max="5645" width="15.375" customWidth="1"/>
    <col min="5647" max="5647" width="12.875" customWidth="1"/>
    <col min="5651" max="5651" width="15.25" customWidth="1"/>
    <col min="5653" max="5653" width="14" customWidth="1"/>
    <col min="5657" max="5657" width="14.625" customWidth="1"/>
    <col min="5659" max="5659" width="12.75" customWidth="1"/>
    <col min="5663" max="5663" width="16.625" customWidth="1"/>
    <col min="5665" max="5665" width="12.375" customWidth="1"/>
    <col min="5667" max="5667" width="13.25" customWidth="1"/>
    <col min="5668" max="5668" width="11.75" customWidth="1"/>
    <col min="5669" max="5669" width="14.125" customWidth="1"/>
    <col min="5898" max="5898" width="13.125" customWidth="1"/>
    <col min="5901" max="5901" width="15.375" customWidth="1"/>
    <col min="5903" max="5903" width="12.875" customWidth="1"/>
    <col min="5907" max="5907" width="15.25" customWidth="1"/>
    <col min="5909" max="5909" width="14" customWidth="1"/>
    <col min="5913" max="5913" width="14.625" customWidth="1"/>
    <col min="5915" max="5915" width="12.75" customWidth="1"/>
    <col min="5919" max="5919" width="16.625" customWidth="1"/>
    <col min="5921" max="5921" width="12.375" customWidth="1"/>
    <col min="5923" max="5923" width="13.25" customWidth="1"/>
    <col min="5924" max="5924" width="11.75" customWidth="1"/>
    <col min="5925" max="5925" width="14.125" customWidth="1"/>
    <col min="6154" max="6154" width="13.125" customWidth="1"/>
    <col min="6157" max="6157" width="15.375" customWidth="1"/>
    <col min="6159" max="6159" width="12.875" customWidth="1"/>
    <col min="6163" max="6163" width="15.25" customWidth="1"/>
    <col min="6165" max="6165" width="14" customWidth="1"/>
    <col min="6169" max="6169" width="14.625" customWidth="1"/>
    <col min="6171" max="6171" width="12.75" customWidth="1"/>
    <col min="6175" max="6175" width="16.625" customWidth="1"/>
    <col min="6177" max="6177" width="12.375" customWidth="1"/>
    <col min="6179" max="6179" width="13.25" customWidth="1"/>
    <col min="6180" max="6180" width="11.75" customWidth="1"/>
    <col min="6181" max="6181" width="14.125" customWidth="1"/>
    <col min="6410" max="6410" width="13.125" customWidth="1"/>
    <col min="6413" max="6413" width="15.375" customWidth="1"/>
    <col min="6415" max="6415" width="12.875" customWidth="1"/>
    <col min="6419" max="6419" width="15.25" customWidth="1"/>
    <col min="6421" max="6421" width="14" customWidth="1"/>
    <col min="6425" max="6425" width="14.625" customWidth="1"/>
    <col min="6427" max="6427" width="12.75" customWidth="1"/>
    <col min="6431" max="6431" width="16.625" customWidth="1"/>
    <col min="6433" max="6433" width="12.375" customWidth="1"/>
    <col min="6435" max="6435" width="13.25" customWidth="1"/>
    <col min="6436" max="6436" width="11.75" customWidth="1"/>
    <col min="6437" max="6437" width="14.125" customWidth="1"/>
    <col min="6666" max="6666" width="13.125" customWidth="1"/>
    <col min="6669" max="6669" width="15.375" customWidth="1"/>
    <col min="6671" max="6671" width="12.875" customWidth="1"/>
    <col min="6675" max="6675" width="15.25" customWidth="1"/>
    <col min="6677" max="6677" width="14" customWidth="1"/>
    <col min="6681" max="6681" width="14.625" customWidth="1"/>
    <col min="6683" max="6683" width="12.75" customWidth="1"/>
    <col min="6687" max="6687" width="16.625" customWidth="1"/>
    <col min="6689" max="6689" width="12.375" customWidth="1"/>
    <col min="6691" max="6691" width="13.25" customWidth="1"/>
    <col min="6692" max="6692" width="11.75" customWidth="1"/>
    <col min="6693" max="6693" width="14.125" customWidth="1"/>
    <col min="6922" max="6922" width="13.125" customWidth="1"/>
    <col min="6925" max="6925" width="15.375" customWidth="1"/>
    <col min="6927" max="6927" width="12.875" customWidth="1"/>
    <col min="6931" max="6931" width="15.25" customWidth="1"/>
    <col min="6933" max="6933" width="14" customWidth="1"/>
    <col min="6937" max="6937" width="14.625" customWidth="1"/>
    <col min="6939" max="6939" width="12.75" customWidth="1"/>
    <col min="6943" max="6943" width="16.625" customWidth="1"/>
    <col min="6945" max="6945" width="12.375" customWidth="1"/>
    <col min="6947" max="6947" width="13.25" customWidth="1"/>
    <col min="6948" max="6948" width="11.75" customWidth="1"/>
    <col min="6949" max="6949" width="14.125" customWidth="1"/>
    <col min="7178" max="7178" width="13.125" customWidth="1"/>
    <col min="7181" max="7181" width="15.375" customWidth="1"/>
    <col min="7183" max="7183" width="12.875" customWidth="1"/>
    <col min="7187" max="7187" width="15.25" customWidth="1"/>
    <col min="7189" max="7189" width="14" customWidth="1"/>
    <col min="7193" max="7193" width="14.625" customWidth="1"/>
    <col min="7195" max="7195" width="12.75" customWidth="1"/>
    <col min="7199" max="7199" width="16.625" customWidth="1"/>
    <col min="7201" max="7201" width="12.375" customWidth="1"/>
    <col min="7203" max="7203" width="13.25" customWidth="1"/>
    <col min="7204" max="7204" width="11.75" customWidth="1"/>
    <col min="7205" max="7205" width="14.125" customWidth="1"/>
    <col min="7434" max="7434" width="13.125" customWidth="1"/>
    <col min="7437" max="7437" width="15.375" customWidth="1"/>
    <col min="7439" max="7439" width="12.875" customWidth="1"/>
    <col min="7443" max="7443" width="15.25" customWidth="1"/>
    <col min="7445" max="7445" width="14" customWidth="1"/>
    <col min="7449" max="7449" width="14.625" customWidth="1"/>
    <col min="7451" max="7451" width="12.75" customWidth="1"/>
    <col min="7455" max="7455" width="16.625" customWidth="1"/>
    <col min="7457" max="7457" width="12.375" customWidth="1"/>
    <col min="7459" max="7459" width="13.25" customWidth="1"/>
    <col min="7460" max="7460" width="11.75" customWidth="1"/>
    <col min="7461" max="7461" width="14.125" customWidth="1"/>
    <col min="7690" max="7690" width="13.125" customWidth="1"/>
    <col min="7693" max="7693" width="15.375" customWidth="1"/>
    <col min="7695" max="7695" width="12.875" customWidth="1"/>
    <col min="7699" max="7699" width="15.25" customWidth="1"/>
    <col min="7701" max="7701" width="14" customWidth="1"/>
    <col min="7705" max="7705" width="14.625" customWidth="1"/>
    <col min="7707" max="7707" width="12.75" customWidth="1"/>
    <col min="7711" max="7711" width="16.625" customWidth="1"/>
    <col min="7713" max="7713" width="12.375" customWidth="1"/>
    <col min="7715" max="7715" width="13.25" customWidth="1"/>
    <col min="7716" max="7716" width="11.75" customWidth="1"/>
    <col min="7717" max="7717" width="14.125" customWidth="1"/>
    <col min="7946" max="7946" width="13.125" customWidth="1"/>
    <col min="7949" max="7949" width="15.375" customWidth="1"/>
    <col min="7951" max="7951" width="12.875" customWidth="1"/>
    <col min="7955" max="7955" width="15.25" customWidth="1"/>
    <col min="7957" max="7957" width="14" customWidth="1"/>
    <col min="7961" max="7961" width="14.625" customWidth="1"/>
    <col min="7963" max="7963" width="12.75" customWidth="1"/>
    <col min="7967" max="7967" width="16.625" customWidth="1"/>
    <col min="7969" max="7969" width="12.375" customWidth="1"/>
    <col min="7971" max="7971" width="13.25" customWidth="1"/>
    <col min="7972" max="7972" width="11.75" customWidth="1"/>
    <col min="7973" max="7973" width="14.125" customWidth="1"/>
    <col min="8202" max="8202" width="13.125" customWidth="1"/>
    <col min="8205" max="8205" width="15.375" customWidth="1"/>
    <col min="8207" max="8207" width="12.875" customWidth="1"/>
    <col min="8211" max="8211" width="15.25" customWidth="1"/>
    <col min="8213" max="8213" width="14" customWidth="1"/>
    <col min="8217" max="8217" width="14.625" customWidth="1"/>
    <col min="8219" max="8219" width="12.75" customWidth="1"/>
    <col min="8223" max="8223" width="16.625" customWidth="1"/>
    <col min="8225" max="8225" width="12.375" customWidth="1"/>
    <col min="8227" max="8227" width="13.25" customWidth="1"/>
    <col min="8228" max="8228" width="11.75" customWidth="1"/>
    <col min="8229" max="8229" width="14.125" customWidth="1"/>
    <col min="8458" max="8458" width="13.125" customWidth="1"/>
    <col min="8461" max="8461" width="15.375" customWidth="1"/>
    <col min="8463" max="8463" width="12.875" customWidth="1"/>
    <col min="8467" max="8467" width="15.25" customWidth="1"/>
    <col min="8469" max="8469" width="14" customWidth="1"/>
    <col min="8473" max="8473" width="14.625" customWidth="1"/>
    <col min="8475" max="8475" width="12.75" customWidth="1"/>
    <col min="8479" max="8479" width="16.625" customWidth="1"/>
    <col min="8481" max="8481" width="12.375" customWidth="1"/>
    <col min="8483" max="8483" width="13.25" customWidth="1"/>
    <col min="8484" max="8484" width="11.75" customWidth="1"/>
    <col min="8485" max="8485" width="14.125" customWidth="1"/>
    <col min="8714" max="8714" width="13.125" customWidth="1"/>
    <col min="8717" max="8717" width="15.375" customWidth="1"/>
    <col min="8719" max="8719" width="12.875" customWidth="1"/>
    <col min="8723" max="8723" width="15.25" customWidth="1"/>
    <col min="8725" max="8725" width="14" customWidth="1"/>
    <col min="8729" max="8729" width="14.625" customWidth="1"/>
    <col min="8731" max="8731" width="12.75" customWidth="1"/>
    <col min="8735" max="8735" width="16.625" customWidth="1"/>
    <col min="8737" max="8737" width="12.375" customWidth="1"/>
    <col min="8739" max="8739" width="13.25" customWidth="1"/>
    <col min="8740" max="8740" width="11.75" customWidth="1"/>
    <col min="8741" max="8741" width="14.125" customWidth="1"/>
    <col min="8970" max="8970" width="13.125" customWidth="1"/>
    <col min="8973" max="8973" width="15.375" customWidth="1"/>
    <col min="8975" max="8975" width="12.875" customWidth="1"/>
    <col min="8979" max="8979" width="15.25" customWidth="1"/>
    <col min="8981" max="8981" width="14" customWidth="1"/>
    <col min="8985" max="8985" width="14.625" customWidth="1"/>
    <col min="8987" max="8987" width="12.75" customWidth="1"/>
    <col min="8991" max="8991" width="16.625" customWidth="1"/>
    <col min="8993" max="8993" width="12.375" customWidth="1"/>
    <col min="8995" max="8995" width="13.25" customWidth="1"/>
    <col min="8996" max="8996" width="11.75" customWidth="1"/>
    <col min="8997" max="8997" width="14.125" customWidth="1"/>
    <col min="9226" max="9226" width="13.125" customWidth="1"/>
    <col min="9229" max="9229" width="15.375" customWidth="1"/>
    <col min="9231" max="9231" width="12.875" customWidth="1"/>
    <col min="9235" max="9235" width="15.25" customWidth="1"/>
    <col min="9237" max="9237" width="14" customWidth="1"/>
    <col min="9241" max="9241" width="14.625" customWidth="1"/>
    <col min="9243" max="9243" width="12.75" customWidth="1"/>
    <col min="9247" max="9247" width="16.625" customWidth="1"/>
    <col min="9249" max="9249" width="12.375" customWidth="1"/>
    <col min="9251" max="9251" width="13.25" customWidth="1"/>
    <col min="9252" max="9252" width="11.75" customWidth="1"/>
    <col min="9253" max="9253" width="14.125" customWidth="1"/>
    <col min="9482" max="9482" width="13.125" customWidth="1"/>
    <col min="9485" max="9485" width="15.375" customWidth="1"/>
    <col min="9487" max="9487" width="12.875" customWidth="1"/>
    <col min="9491" max="9491" width="15.25" customWidth="1"/>
    <col min="9493" max="9493" width="14" customWidth="1"/>
    <col min="9497" max="9497" width="14.625" customWidth="1"/>
    <col min="9499" max="9499" width="12.75" customWidth="1"/>
    <col min="9503" max="9503" width="16.625" customWidth="1"/>
    <col min="9505" max="9505" width="12.375" customWidth="1"/>
    <col min="9507" max="9507" width="13.25" customWidth="1"/>
    <col min="9508" max="9508" width="11.75" customWidth="1"/>
    <col min="9509" max="9509" width="14.125" customWidth="1"/>
    <col min="9738" max="9738" width="13.125" customWidth="1"/>
    <col min="9741" max="9741" width="15.375" customWidth="1"/>
    <col min="9743" max="9743" width="12.875" customWidth="1"/>
    <col min="9747" max="9747" width="15.25" customWidth="1"/>
    <col min="9749" max="9749" width="14" customWidth="1"/>
    <col min="9753" max="9753" width="14.625" customWidth="1"/>
    <col min="9755" max="9755" width="12.75" customWidth="1"/>
    <col min="9759" max="9759" width="16.625" customWidth="1"/>
    <col min="9761" max="9761" width="12.375" customWidth="1"/>
    <col min="9763" max="9763" width="13.25" customWidth="1"/>
    <col min="9764" max="9764" width="11.75" customWidth="1"/>
    <col min="9765" max="9765" width="14.125" customWidth="1"/>
    <col min="9994" max="9994" width="13.125" customWidth="1"/>
    <col min="9997" max="9997" width="15.375" customWidth="1"/>
    <col min="9999" max="9999" width="12.875" customWidth="1"/>
    <col min="10003" max="10003" width="15.25" customWidth="1"/>
    <col min="10005" max="10005" width="14" customWidth="1"/>
    <col min="10009" max="10009" width="14.625" customWidth="1"/>
    <col min="10011" max="10011" width="12.75" customWidth="1"/>
    <col min="10015" max="10015" width="16.625" customWidth="1"/>
    <col min="10017" max="10017" width="12.375" customWidth="1"/>
    <col min="10019" max="10019" width="13.25" customWidth="1"/>
    <col min="10020" max="10020" width="11.75" customWidth="1"/>
    <col min="10021" max="10021" width="14.125" customWidth="1"/>
    <col min="10250" max="10250" width="13.125" customWidth="1"/>
    <col min="10253" max="10253" width="15.375" customWidth="1"/>
    <col min="10255" max="10255" width="12.875" customWidth="1"/>
    <col min="10259" max="10259" width="15.25" customWidth="1"/>
    <col min="10261" max="10261" width="14" customWidth="1"/>
    <col min="10265" max="10265" width="14.625" customWidth="1"/>
    <col min="10267" max="10267" width="12.75" customWidth="1"/>
    <col min="10271" max="10271" width="16.625" customWidth="1"/>
    <col min="10273" max="10273" width="12.375" customWidth="1"/>
    <col min="10275" max="10275" width="13.25" customWidth="1"/>
    <col min="10276" max="10276" width="11.75" customWidth="1"/>
    <col min="10277" max="10277" width="14.125" customWidth="1"/>
    <col min="10506" max="10506" width="13.125" customWidth="1"/>
    <col min="10509" max="10509" width="15.375" customWidth="1"/>
    <col min="10511" max="10511" width="12.875" customWidth="1"/>
    <col min="10515" max="10515" width="15.25" customWidth="1"/>
    <col min="10517" max="10517" width="14" customWidth="1"/>
    <col min="10521" max="10521" width="14.625" customWidth="1"/>
    <col min="10523" max="10523" width="12.75" customWidth="1"/>
    <col min="10527" max="10527" width="16.625" customWidth="1"/>
    <col min="10529" max="10529" width="12.375" customWidth="1"/>
    <col min="10531" max="10531" width="13.25" customWidth="1"/>
    <col min="10532" max="10532" width="11.75" customWidth="1"/>
    <col min="10533" max="10533" width="14.125" customWidth="1"/>
    <col min="10762" max="10762" width="13.125" customWidth="1"/>
    <col min="10765" max="10765" width="15.375" customWidth="1"/>
    <col min="10767" max="10767" width="12.875" customWidth="1"/>
    <col min="10771" max="10771" width="15.25" customWidth="1"/>
    <col min="10773" max="10773" width="14" customWidth="1"/>
    <col min="10777" max="10777" width="14.625" customWidth="1"/>
    <col min="10779" max="10779" width="12.75" customWidth="1"/>
    <col min="10783" max="10783" width="16.625" customWidth="1"/>
    <col min="10785" max="10785" width="12.375" customWidth="1"/>
    <col min="10787" max="10787" width="13.25" customWidth="1"/>
    <col min="10788" max="10788" width="11.75" customWidth="1"/>
    <col min="10789" max="10789" width="14.125" customWidth="1"/>
    <col min="11018" max="11018" width="13.125" customWidth="1"/>
    <col min="11021" max="11021" width="15.375" customWidth="1"/>
    <col min="11023" max="11023" width="12.875" customWidth="1"/>
    <col min="11027" max="11027" width="15.25" customWidth="1"/>
    <col min="11029" max="11029" width="14" customWidth="1"/>
    <col min="11033" max="11033" width="14.625" customWidth="1"/>
    <col min="11035" max="11035" width="12.75" customWidth="1"/>
    <col min="11039" max="11039" width="16.625" customWidth="1"/>
    <col min="11041" max="11041" width="12.375" customWidth="1"/>
    <col min="11043" max="11043" width="13.25" customWidth="1"/>
    <col min="11044" max="11044" width="11.75" customWidth="1"/>
    <col min="11045" max="11045" width="14.125" customWidth="1"/>
    <col min="11274" max="11274" width="13.125" customWidth="1"/>
    <col min="11277" max="11277" width="15.375" customWidth="1"/>
    <col min="11279" max="11279" width="12.875" customWidth="1"/>
    <col min="11283" max="11283" width="15.25" customWidth="1"/>
    <col min="11285" max="11285" width="14" customWidth="1"/>
    <col min="11289" max="11289" width="14.625" customWidth="1"/>
    <col min="11291" max="11291" width="12.75" customWidth="1"/>
    <col min="11295" max="11295" width="16.625" customWidth="1"/>
    <col min="11297" max="11297" width="12.375" customWidth="1"/>
    <col min="11299" max="11299" width="13.25" customWidth="1"/>
    <col min="11300" max="11300" width="11.75" customWidth="1"/>
    <col min="11301" max="11301" width="14.125" customWidth="1"/>
    <col min="11530" max="11530" width="13.125" customWidth="1"/>
    <col min="11533" max="11533" width="15.375" customWidth="1"/>
    <col min="11535" max="11535" width="12.875" customWidth="1"/>
    <col min="11539" max="11539" width="15.25" customWidth="1"/>
    <col min="11541" max="11541" width="14" customWidth="1"/>
    <col min="11545" max="11545" width="14.625" customWidth="1"/>
    <col min="11547" max="11547" width="12.75" customWidth="1"/>
    <col min="11551" max="11551" width="16.625" customWidth="1"/>
    <col min="11553" max="11553" width="12.375" customWidth="1"/>
    <col min="11555" max="11555" width="13.25" customWidth="1"/>
    <col min="11556" max="11556" width="11.75" customWidth="1"/>
    <col min="11557" max="11557" width="14.125" customWidth="1"/>
    <col min="11786" max="11786" width="13.125" customWidth="1"/>
    <col min="11789" max="11789" width="15.375" customWidth="1"/>
    <col min="11791" max="11791" width="12.875" customWidth="1"/>
    <col min="11795" max="11795" width="15.25" customWidth="1"/>
    <col min="11797" max="11797" width="14" customWidth="1"/>
    <col min="11801" max="11801" width="14.625" customWidth="1"/>
    <col min="11803" max="11803" width="12.75" customWidth="1"/>
    <col min="11807" max="11807" width="16.625" customWidth="1"/>
    <col min="11809" max="11809" width="12.375" customWidth="1"/>
    <col min="11811" max="11811" width="13.25" customWidth="1"/>
    <col min="11812" max="11812" width="11.75" customWidth="1"/>
    <col min="11813" max="11813" width="14.125" customWidth="1"/>
    <col min="12042" max="12042" width="13.125" customWidth="1"/>
    <col min="12045" max="12045" width="15.375" customWidth="1"/>
    <col min="12047" max="12047" width="12.875" customWidth="1"/>
    <col min="12051" max="12051" width="15.25" customWidth="1"/>
    <col min="12053" max="12053" width="14" customWidth="1"/>
    <col min="12057" max="12057" width="14.625" customWidth="1"/>
    <col min="12059" max="12059" width="12.75" customWidth="1"/>
    <col min="12063" max="12063" width="16.625" customWidth="1"/>
    <col min="12065" max="12065" width="12.375" customWidth="1"/>
    <col min="12067" max="12067" width="13.25" customWidth="1"/>
    <col min="12068" max="12068" width="11.75" customWidth="1"/>
    <col min="12069" max="12069" width="14.125" customWidth="1"/>
    <col min="12298" max="12298" width="13.125" customWidth="1"/>
    <col min="12301" max="12301" width="15.375" customWidth="1"/>
    <col min="12303" max="12303" width="12.875" customWidth="1"/>
    <col min="12307" max="12307" width="15.25" customWidth="1"/>
    <col min="12309" max="12309" width="14" customWidth="1"/>
    <col min="12313" max="12313" width="14.625" customWidth="1"/>
    <col min="12315" max="12315" width="12.75" customWidth="1"/>
    <col min="12319" max="12319" width="16.625" customWidth="1"/>
    <col min="12321" max="12321" width="12.375" customWidth="1"/>
    <col min="12323" max="12323" width="13.25" customWidth="1"/>
    <col min="12324" max="12324" width="11.75" customWidth="1"/>
    <col min="12325" max="12325" width="14.125" customWidth="1"/>
    <col min="12554" max="12554" width="13.125" customWidth="1"/>
    <col min="12557" max="12557" width="15.375" customWidth="1"/>
    <col min="12559" max="12559" width="12.875" customWidth="1"/>
    <col min="12563" max="12563" width="15.25" customWidth="1"/>
    <col min="12565" max="12565" width="14" customWidth="1"/>
    <col min="12569" max="12569" width="14.625" customWidth="1"/>
    <col min="12571" max="12571" width="12.75" customWidth="1"/>
    <col min="12575" max="12575" width="16.625" customWidth="1"/>
    <col min="12577" max="12577" width="12.375" customWidth="1"/>
    <col min="12579" max="12579" width="13.25" customWidth="1"/>
    <col min="12580" max="12580" width="11.75" customWidth="1"/>
    <col min="12581" max="12581" width="14.125" customWidth="1"/>
    <col min="12810" max="12810" width="13.125" customWidth="1"/>
    <col min="12813" max="12813" width="15.375" customWidth="1"/>
    <col min="12815" max="12815" width="12.875" customWidth="1"/>
    <col min="12819" max="12819" width="15.25" customWidth="1"/>
    <col min="12821" max="12821" width="14" customWidth="1"/>
    <col min="12825" max="12825" width="14.625" customWidth="1"/>
    <col min="12827" max="12827" width="12.75" customWidth="1"/>
    <col min="12831" max="12831" width="16.625" customWidth="1"/>
    <col min="12833" max="12833" width="12.375" customWidth="1"/>
    <col min="12835" max="12835" width="13.25" customWidth="1"/>
    <col min="12836" max="12836" width="11.75" customWidth="1"/>
    <col min="12837" max="12837" width="14.125" customWidth="1"/>
    <col min="13066" max="13066" width="13.125" customWidth="1"/>
    <col min="13069" max="13069" width="15.375" customWidth="1"/>
    <col min="13071" max="13071" width="12.875" customWidth="1"/>
    <col min="13075" max="13075" width="15.25" customWidth="1"/>
    <col min="13077" max="13077" width="14" customWidth="1"/>
    <col min="13081" max="13081" width="14.625" customWidth="1"/>
    <col min="13083" max="13083" width="12.75" customWidth="1"/>
    <col min="13087" max="13087" width="16.625" customWidth="1"/>
    <col min="13089" max="13089" width="12.375" customWidth="1"/>
    <col min="13091" max="13091" width="13.25" customWidth="1"/>
    <col min="13092" max="13092" width="11.75" customWidth="1"/>
    <col min="13093" max="13093" width="14.125" customWidth="1"/>
    <col min="13322" max="13322" width="13.125" customWidth="1"/>
    <col min="13325" max="13325" width="15.375" customWidth="1"/>
    <col min="13327" max="13327" width="12.875" customWidth="1"/>
    <col min="13331" max="13331" width="15.25" customWidth="1"/>
    <col min="13333" max="13333" width="14" customWidth="1"/>
    <col min="13337" max="13337" width="14.625" customWidth="1"/>
    <col min="13339" max="13339" width="12.75" customWidth="1"/>
    <col min="13343" max="13343" width="16.625" customWidth="1"/>
    <col min="13345" max="13345" width="12.375" customWidth="1"/>
    <col min="13347" max="13347" width="13.25" customWidth="1"/>
    <col min="13348" max="13348" width="11.75" customWidth="1"/>
    <col min="13349" max="13349" width="14.125" customWidth="1"/>
    <col min="13578" max="13578" width="13.125" customWidth="1"/>
    <col min="13581" max="13581" width="15.375" customWidth="1"/>
    <col min="13583" max="13583" width="12.875" customWidth="1"/>
    <col min="13587" max="13587" width="15.25" customWidth="1"/>
    <col min="13589" max="13589" width="14" customWidth="1"/>
    <col min="13593" max="13593" width="14.625" customWidth="1"/>
    <col min="13595" max="13595" width="12.75" customWidth="1"/>
    <col min="13599" max="13599" width="16.625" customWidth="1"/>
    <col min="13601" max="13601" width="12.375" customWidth="1"/>
    <col min="13603" max="13603" width="13.25" customWidth="1"/>
    <col min="13604" max="13604" width="11.75" customWidth="1"/>
    <col min="13605" max="13605" width="14.125" customWidth="1"/>
    <col min="13834" max="13834" width="13.125" customWidth="1"/>
    <col min="13837" max="13837" width="15.375" customWidth="1"/>
    <col min="13839" max="13839" width="12.875" customWidth="1"/>
    <col min="13843" max="13843" width="15.25" customWidth="1"/>
    <col min="13845" max="13845" width="14" customWidth="1"/>
    <col min="13849" max="13849" width="14.625" customWidth="1"/>
    <col min="13851" max="13851" width="12.75" customWidth="1"/>
    <col min="13855" max="13855" width="16.625" customWidth="1"/>
    <col min="13857" max="13857" width="12.375" customWidth="1"/>
    <col min="13859" max="13859" width="13.25" customWidth="1"/>
    <col min="13860" max="13860" width="11.75" customWidth="1"/>
    <col min="13861" max="13861" width="14.125" customWidth="1"/>
    <col min="14090" max="14090" width="13.125" customWidth="1"/>
    <col min="14093" max="14093" width="15.375" customWidth="1"/>
    <col min="14095" max="14095" width="12.875" customWidth="1"/>
    <col min="14099" max="14099" width="15.25" customWidth="1"/>
    <col min="14101" max="14101" width="14" customWidth="1"/>
    <col min="14105" max="14105" width="14.625" customWidth="1"/>
    <col min="14107" max="14107" width="12.75" customWidth="1"/>
    <col min="14111" max="14111" width="16.625" customWidth="1"/>
    <col min="14113" max="14113" width="12.375" customWidth="1"/>
    <col min="14115" max="14115" width="13.25" customWidth="1"/>
    <col min="14116" max="14116" width="11.75" customWidth="1"/>
    <col min="14117" max="14117" width="14.125" customWidth="1"/>
    <col min="14346" max="14346" width="13.125" customWidth="1"/>
    <col min="14349" max="14349" width="15.375" customWidth="1"/>
    <col min="14351" max="14351" width="12.875" customWidth="1"/>
    <col min="14355" max="14355" width="15.25" customWidth="1"/>
    <col min="14357" max="14357" width="14" customWidth="1"/>
    <col min="14361" max="14361" width="14.625" customWidth="1"/>
    <col min="14363" max="14363" width="12.75" customWidth="1"/>
    <col min="14367" max="14367" width="16.625" customWidth="1"/>
    <col min="14369" max="14369" width="12.375" customWidth="1"/>
    <col min="14371" max="14371" width="13.25" customWidth="1"/>
    <col min="14372" max="14372" width="11.75" customWidth="1"/>
    <col min="14373" max="14373" width="14.125" customWidth="1"/>
    <col min="14602" max="14602" width="13.125" customWidth="1"/>
    <col min="14605" max="14605" width="15.375" customWidth="1"/>
    <col min="14607" max="14607" width="12.875" customWidth="1"/>
    <col min="14611" max="14611" width="15.25" customWidth="1"/>
    <col min="14613" max="14613" width="14" customWidth="1"/>
    <col min="14617" max="14617" width="14.625" customWidth="1"/>
    <col min="14619" max="14619" width="12.75" customWidth="1"/>
    <col min="14623" max="14623" width="16.625" customWidth="1"/>
    <col min="14625" max="14625" width="12.375" customWidth="1"/>
    <col min="14627" max="14627" width="13.25" customWidth="1"/>
    <col min="14628" max="14628" width="11.75" customWidth="1"/>
    <col min="14629" max="14629" width="14.125" customWidth="1"/>
    <col min="14858" max="14858" width="13.125" customWidth="1"/>
    <col min="14861" max="14861" width="15.375" customWidth="1"/>
    <col min="14863" max="14863" width="12.875" customWidth="1"/>
    <col min="14867" max="14867" width="15.25" customWidth="1"/>
    <col min="14869" max="14869" width="14" customWidth="1"/>
    <col min="14873" max="14873" width="14.625" customWidth="1"/>
    <col min="14875" max="14875" width="12.75" customWidth="1"/>
    <col min="14879" max="14879" width="16.625" customWidth="1"/>
    <col min="14881" max="14881" width="12.375" customWidth="1"/>
    <col min="14883" max="14883" width="13.25" customWidth="1"/>
    <col min="14884" max="14884" width="11.75" customWidth="1"/>
    <col min="14885" max="14885" width="14.125" customWidth="1"/>
    <col min="15114" max="15114" width="13.125" customWidth="1"/>
    <col min="15117" max="15117" width="15.375" customWidth="1"/>
    <col min="15119" max="15119" width="12.875" customWidth="1"/>
    <col min="15123" max="15123" width="15.25" customWidth="1"/>
    <col min="15125" max="15125" width="14" customWidth="1"/>
    <col min="15129" max="15129" width="14.625" customWidth="1"/>
    <col min="15131" max="15131" width="12.75" customWidth="1"/>
    <col min="15135" max="15135" width="16.625" customWidth="1"/>
    <col min="15137" max="15137" width="12.375" customWidth="1"/>
    <col min="15139" max="15139" width="13.25" customWidth="1"/>
    <col min="15140" max="15140" width="11.75" customWidth="1"/>
    <col min="15141" max="15141" width="14.125" customWidth="1"/>
    <col min="15370" max="15370" width="13.125" customWidth="1"/>
    <col min="15373" max="15373" width="15.375" customWidth="1"/>
    <col min="15375" max="15375" width="12.875" customWidth="1"/>
    <col min="15379" max="15379" width="15.25" customWidth="1"/>
    <col min="15381" max="15381" width="14" customWidth="1"/>
    <col min="15385" max="15385" width="14.625" customWidth="1"/>
    <col min="15387" max="15387" width="12.75" customWidth="1"/>
    <col min="15391" max="15391" width="16.625" customWidth="1"/>
    <col min="15393" max="15393" width="12.375" customWidth="1"/>
    <col min="15395" max="15395" width="13.25" customWidth="1"/>
    <col min="15396" max="15396" width="11.75" customWidth="1"/>
    <col min="15397" max="15397" width="14.125" customWidth="1"/>
    <col min="15626" max="15626" width="13.125" customWidth="1"/>
    <col min="15629" max="15629" width="15.375" customWidth="1"/>
    <col min="15631" max="15631" width="12.875" customWidth="1"/>
    <col min="15635" max="15635" width="15.25" customWidth="1"/>
    <col min="15637" max="15637" width="14" customWidth="1"/>
    <col min="15641" max="15641" width="14.625" customWidth="1"/>
    <col min="15643" max="15643" width="12.75" customWidth="1"/>
    <col min="15647" max="15647" width="16.625" customWidth="1"/>
    <col min="15649" max="15649" width="12.375" customWidth="1"/>
    <col min="15651" max="15651" width="13.25" customWidth="1"/>
    <col min="15652" max="15652" width="11.75" customWidth="1"/>
    <col min="15653" max="15653" width="14.125" customWidth="1"/>
    <col min="15882" max="15882" width="13.125" customWidth="1"/>
    <col min="15885" max="15885" width="15.375" customWidth="1"/>
    <col min="15887" max="15887" width="12.875" customWidth="1"/>
    <col min="15891" max="15891" width="15.25" customWidth="1"/>
    <col min="15893" max="15893" width="14" customWidth="1"/>
    <col min="15897" max="15897" width="14.625" customWidth="1"/>
    <col min="15899" max="15899" width="12.75" customWidth="1"/>
    <col min="15903" max="15903" width="16.625" customWidth="1"/>
    <col min="15905" max="15905" width="12.375" customWidth="1"/>
    <col min="15907" max="15907" width="13.25" customWidth="1"/>
    <col min="15908" max="15908" width="11.75" customWidth="1"/>
    <col min="15909" max="15909" width="14.125" customWidth="1"/>
    <col min="16138" max="16138" width="13.125" customWidth="1"/>
    <col min="16141" max="16141" width="15.375" customWidth="1"/>
    <col min="16143" max="16143" width="12.875" customWidth="1"/>
    <col min="16147" max="16147" width="15.25" customWidth="1"/>
    <col min="16149" max="16149" width="14" customWidth="1"/>
    <col min="16153" max="16153" width="14.625" customWidth="1"/>
    <col min="16155" max="16155" width="12.75" customWidth="1"/>
    <col min="16159" max="16159" width="16.625" customWidth="1"/>
    <col min="16161" max="16161" width="12.375" customWidth="1"/>
    <col min="16163" max="16163" width="13.25" customWidth="1"/>
    <col min="16164" max="16164" width="11.75" customWidth="1"/>
    <col min="16165" max="16165" width="14.125" customWidth="1"/>
  </cols>
  <sheetData>
    <row r="1" spans="1:37">
      <c r="C1" s="66" t="str">
        <f>CourseList!B2</f>
        <v>ENG-111</v>
      </c>
      <c r="D1" s="66"/>
      <c r="E1" s="66"/>
      <c r="F1" s="66"/>
      <c r="G1" s="66"/>
      <c r="H1" s="66"/>
      <c r="I1" s="66"/>
      <c r="J1" s="38"/>
      <c r="K1" s="67" t="str">
        <f>CourseList!B3</f>
        <v>ENG-113</v>
      </c>
      <c r="L1" s="67"/>
      <c r="M1" s="67"/>
      <c r="N1" s="67"/>
      <c r="O1" s="67"/>
      <c r="P1" s="67"/>
      <c r="Q1" s="67"/>
      <c r="R1" s="38"/>
      <c r="S1" s="68" t="str">
        <f>CourseList!B4</f>
        <v>ENG-115</v>
      </c>
      <c r="T1" s="68"/>
      <c r="U1" s="68"/>
      <c r="V1" s="68"/>
      <c r="W1" s="68"/>
      <c r="X1" s="68"/>
      <c r="Y1" s="68"/>
      <c r="Z1" s="38"/>
      <c r="AA1" s="66" t="str">
        <f>CourseList!B5</f>
        <v>ENG-117</v>
      </c>
      <c r="AB1" s="66"/>
      <c r="AC1" s="66"/>
      <c r="AD1" s="66"/>
      <c r="AE1" s="66"/>
      <c r="AF1" s="66"/>
      <c r="AG1" s="66"/>
      <c r="AH1" s="41"/>
      <c r="AI1" s="65" t="s">
        <v>98</v>
      </c>
      <c r="AJ1" s="65" t="s">
        <v>99</v>
      </c>
      <c r="AK1" s="65" t="s">
        <v>100</v>
      </c>
    </row>
    <row r="2" spans="1:37">
      <c r="A2" s="50" t="s">
        <v>121</v>
      </c>
      <c r="B2" s="52" t="str" cm="1">
        <f t="array" ref="B2:B32">StudentList!B1:B31</f>
        <v>Student ID</v>
      </c>
      <c r="C2" s="50" t="s">
        <v>101</v>
      </c>
      <c r="D2" s="50" t="s">
        <v>102</v>
      </c>
      <c r="E2" s="50" t="s">
        <v>103</v>
      </c>
      <c r="F2" s="50" t="s">
        <v>104</v>
      </c>
      <c r="G2" s="50" t="s">
        <v>96</v>
      </c>
      <c r="H2" s="50" t="s">
        <v>100</v>
      </c>
      <c r="I2" s="50" t="s">
        <v>105</v>
      </c>
      <c r="J2" s="38"/>
      <c r="K2" s="50" t="s">
        <v>101</v>
      </c>
      <c r="L2" s="50" t="s">
        <v>102</v>
      </c>
      <c r="M2" s="50" t="s">
        <v>103</v>
      </c>
      <c r="N2" s="50" t="s">
        <v>104</v>
      </c>
      <c r="O2" s="50" t="s">
        <v>96</v>
      </c>
      <c r="P2" s="50" t="s">
        <v>100</v>
      </c>
      <c r="Q2" s="50" t="s">
        <v>105</v>
      </c>
      <c r="R2" s="38"/>
      <c r="S2" s="50" t="s">
        <v>101</v>
      </c>
      <c r="T2" s="50" t="s">
        <v>102</v>
      </c>
      <c r="U2" s="50" t="s">
        <v>103</v>
      </c>
      <c r="V2" s="50" t="s">
        <v>104</v>
      </c>
      <c r="W2" s="50" t="s">
        <v>96</v>
      </c>
      <c r="X2" s="50" t="s">
        <v>100</v>
      </c>
      <c r="Y2" s="50" t="s">
        <v>105</v>
      </c>
      <c r="Z2" s="38"/>
      <c r="AA2" s="50" t="s">
        <v>101</v>
      </c>
      <c r="AB2" s="50" t="s">
        <v>102</v>
      </c>
      <c r="AC2" s="50" t="s">
        <v>103</v>
      </c>
      <c r="AD2" s="50" t="s">
        <v>104</v>
      </c>
      <c r="AE2" s="50" t="s">
        <v>96</v>
      </c>
      <c r="AF2" s="50" t="s">
        <v>100</v>
      </c>
      <c r="AG2" s="50" t="s">
        <v>105</v>
      </c>
      <c r="AH2" s="41"/>
      <c r="AI2" s="65"/>
      <c r="AJ2" s="65"/>
      <c r="AK2" s="65"/>
    </row>
    <row r="3" spans="1:37">
      <c r="A3" s="51">
        <v>1</v>
      </c>
      <c r="B3" s="51">
        <v>2011236001</v>
      </c>
      <c r="C3" s="51">
        <v>20</v>
      </c>
      <c r="D3" s="51">
        <v>65</v>
      </c>
      <c r="E3" s="51">
        <v>30</v>
      </c>
      <c r="F3" s="51">
        <f>SUM(C3,D3,IF(E3&gt;29,10,IF(E3&gt;26,9,IF(E3&gt;23,8,IF(E3&gt;20,7,IF(E3&gt;17,6,0))))))</f>
        <v>95</v>
      </c>
      <c r="G3" s="51">
        <v>3</v>
      </c>
      <c r="H3" s="51" t="str">
        <f>LOOKUP(F3,{0,40,45,50,55,60,65,70,75,80,100},{"F","C-","C","C+","B-","B","B+","A-","A","A+","Invalid Entry"})</f>
        <v>A+</v>
      </c>
      <c r="I3" s="51">
        <f>LOOKUP(F3,{0,40,45,50,55,60,65,70,75,80,100},{0,2,2.25,2.5,2.75,3,3.25,3.5,3.75,4,"Invalid Entry"})</f>
        <v>4</v>
      </c>
      <c r="J3" s="39"/>
      <c r="K3" s="51">
        <v>19</v>
      </c>
      <c r="L3" s="51">
        <v>63</v>
      </c>
      <c r="M3" s="51">
        <v>30</v>
      </c>
      <c r="N3" s="51">
        <f>SUM(K3,L3,IF(M3&gt;29,10,IF(M3&gt;26,9,IF(M3&gt;23,8,IF(M3&gt;20,7,IF(M3&gt;17,6,0))))))</f>
        <v>92</v>
      </c>
      <c r="O3" s="51">
        <v>4</v>
      </c>
      <c r="P3" s="51" t="str">
        <f>LOOKUP(N3,{0,40,45,50,55,60,65,70,75,80,100},{"F","C-","C","C+","B-","B","B+","A-","A","A+","Invalid Entry"})</f>
        <v>A+</v>
      </c>
      <c r="Q3" s="51">
        <f>LOOKUP(N3,{0,40,45,50,55,60,65,70,75,80,100},{0,2,2.25,2.5,2.75,3,3.25,3.5,3.75,4,"Invalid Entry"})</f>
        <v>4</v>
      </c>
      <c r="R3" s="39"/>
      <c r="S3" s="51">
        <v>20</v>
      </c>
      <c r="T3" s="51">
        <v>63</v>
      </c>
      <c r="U3" s="51">
        <v>30</v>
      </c>
      <c r="V3" s="51">
        <f>SUM(S3,T3,IF(U3&gt;29,10,IF(U3&gt;26,9,IF(U3&gt;23,8,IF(U3&gt;20,7,IF(U3&gt;17,6,0))))))</f>
        <v>93</v>
      </c>
      <c r="W3" s="51">
        <v>3</v>
      </c>
      <c r="X3" s="51" t="str">
        <f>LOOKUP(V3,{0,40,45,50,55,60,65,70,75,80,100},{"F","C-","C","C+","B-","B","B+","A-","A","A+","Invalid Entry"})</f>
        <v>A+</v>
      </c>
      <c r="Y3" s="51">
        <f>LOOKUP(V3,{0,40,45,50,55,60,65,70,75,80,100},{0,2,2.25,2.5,2.75,3,3.25,3.5,3.75,4,"Invalid Entry"})</f>
        <v>4</v>
      </c>
      <c r="Z3" s="39"/>
      <c r="AA3" s="51">
        <v>17</v>
      </c>
      <c r="AB3" s="51">
        <v>63</v>
      </c>
      <c r="AC3" s="51">
        <v>30</v>
      </c>
      <c r="AD3" s="51">
        <f>SUM(AA3,AB3,IF(AC3&gt;29,10,IF(AC3&gt;26,9,IF(AC3&gt;23,8,IF(AC3&gt;20,7,IF(AC3&gt;17,6,0))))))</f>
        <v>90</v>
      </c>
      <c r="AE3" s="51">
        <v>2</v>
      </c>
      <c r="AF3" s="51" t="str">
        <f>LOOKUP(AD3,{0,40,45,50,55,60,65,70,75,80,100},{"F","C-","C","C+","B-","B","B+","A-","A","A+","Invalid Entry"})</f>
        <v>A+</v>
      </c>
      <c r="AG3" s="51">
        <f>LOOKUP(AD3,{0,40,45,50,55,60,65,70,75,80,100},{0,2,2.25,2.5,2.75,3,3.25,3.5,3.75,4,"Invalid Entry"})</f>
        <v>4</v>
      </c>
      <c r="AH3" s="42"/>
      <c r="AI3" s="51">
        <f t="shared" ref="AI3:AI32" si="0">SUM(G3,O3,W3,AE3)</f>
        <v>12</v>
      </c>
      <c r="AJ3" s="51">
        <f>ROUND(SUM(PRODUCT(I3,G3),PRODUCT(Q3,O3),PRODUCT(Y3,W3),PRODUCT(AG3,AE3))/AI3,2)</f>
        <v>4</v>
      </c>
      <c r="AK3" s="51" t="str">
        <f>LOOKUP(AJ3,{0,2,2.25,2.5,2.75,3,3.25,3.5,3.75,4},{"F","C-","C","C+","B-","B","B+","A-","A","A+"})</f>
        <v>A+</v>
      </c>
    </row>
    <row r="4" spans="1:37">
      <c r="A4" s="51">
        <v>2</v>
      </c>
      <c r="B4" s="51">
        <v>2011236002</v>
      </c>
      <c r="C4" s="51">
        <v>11</v>
      </c>
      <c r="D4" s="51">
        <v>40</v>
      </c>
      <c r="E4" s="51">
        <v>30</v>
      </c>
      <c r="F4" s="51">
        <f t="shared" ref="F4:F32" si="1">SUM(C4,D4,IF(E4&gt;29,10,IF(E4&gt;26,9,IF(E4&gt;23,8,IF(E4&gt;20,7,IF(E4&gt;17,6,0))))))</f>
        <v>61</v>
      </c>
      <c r="G4" s="51">
        <v>3</v>
      </c>
      <c r="H4" s="51" t="str">
        <f>LOOKUP(F4,{0,40,45,50,55,60,65,70,75,80,100},{"F","C-","C","C+","B-","B","B+","A-","A","A+","Invalid Entry"})</f>
        <v>B</v>
      </c>
      <c r="I4" s="51">
        <f>LOOKUP(F4,{0,40,45,50,55,60,65,70,75,80,100},{0,2,2.25,2.5,2.75,3,3.25,3.5,3.75,4,"Invalid Entry"})</f>
        <v>3</v>
      </c>
      <c r="J4" s="39"/>
      <c r="K4" s="51">
        <v>12</v>
      </c>
      <c r="L4" s="51">
        <v>45</v>
      </c>
      <c r="M4" s="51">
        <v>30</v>
      </c>
      <c r="N4" s="51">
        <f t="shared" ref="N4:N32" si="2">SUM(K4,L4,IF(M4&gt;29,10,IF(M4&gt;26,9,IF(M4&gt;23,8,IF(M4&gt;20,7,IF(M4&gt;17,6,0))))))</f>
        <v>67</v>
      </c>
      <c r="O4" s="51">
        <v>4</v>
      </c>
      <c r="P4" s="51" t="str">
        <f>LOOKUP(N4,{0,40,45,50,55,60,65,70,75,80,100},{"F","C-","C","C+","B-","B","B+","A-","A","A+","Invalid Entry"})</f>
        <v>B+</v>
      </c>
      <c r="Q4" s="51">
        <f>LOOKUP(N4,{0,40,45,50,55,60,65,70,75,80,100},{0,2,2.25,2.5,2.75,3,3.25,3.5,3.75,4,"Invalid Entry"})</f>
        <v>3.25</v>
      </c>
      <c r="R4" s="39"/>
      <c r="S4" s="51">
        <v>15</v>
      </c>
      <c r="T4" s="51">
        <v>45</v>
      </c>
      <c r="U4" s="51">
        <v>30</v>
      </c>
      <c r="V4" s="51">
        <f t="shared" ref="V4:V32" si="3">SUM(S4,T4,IF(U4&gt;29,10,IF(U4&gt;26,9,IF(U4&gt;23,8,IF(U4&gt;20,7,IF(U4&gt;17,6,0))))))</f>
        <v>70</v>
      </c>
      <c r="W4" s="51">
        <v>3</v>
      </c>
      <c r="X4" s="51" t="str">
        <f>LOOKUP(V4,{0,40,45,50,55,60,65,70,75,80,100},{"F","C-","C","C+","B-","B","B+","A-","A","A+","Invalid Entry"})</f>
        <v>A-</v>
      </c>
      <c r="Y4" s="51">
        <f>LOOKUP(V4,{0,40,45,50,55,60,65,70,75,80,100},{0,2,2.25,2.5,2.75,3,3.25,3.5,3.75,4,"Invalid Entry"})</f>
        <v>3.5</v>
      </c>
      <c r="Z4" s="39"/>
      <c r="AA4" s="51">
        <v>18</v>
      </c>
      <c r="AB4" s="51">
        <v>45</v>
      </c>
      <c r="AC4" s="51">
        <v>30</v>
      </c>
      <c r="AD4" s="51">
        <f t="shared" ref="AD4:AD32" si="4">SUM(AA4,AB4,IF(AC4&gt;29,10,IF(AC4&gt;26,9,IF(AC4&gt;23,8,IF(AC4&gt;20,7,IF(AC4&gt;17,6,0))))))</f>
        <v>73</v>
      </c>
      <c r="AE4" s="51">
        <v>2</v>
      </c>
      <c r="AF4" s="51" t="str">
        <f>LOOKUP(AD4,{0,40,45,50,55,60,65,70,75,80,100},{"F","C-","C","C+","B-","B","B+","A-","A","A+","Invalid Entry"})</f>
        <v>A-</v>
      </c>
      <c r="AG4" s="51">
        <f>LOOKUP(AD4,{0,40,45,50,55,60,65,70,75,80,100},{0,2,2.25,2.5,2.75,3,3.25,3.5,3.75,4,"Invalid Entry"})</f>
        <v>3.5</v>
      </c>
      <c r="AH4" s="42"/>
      <c r="AI4" s="51">
        <f t="shared" si="0"/>
        <v>12</v>
      </c>
      <c r="AJ4" s="51">
        <f t="shared" ref="AJ4:AJ31" si="5">ROUND(SUM(PRODUCT(I4,G4),PRODUCT(Q4,O4),PRODUCT(Y4,W4),PRODUCT(AG4,AE4))/AI4,2)</f>
        <v>3.29</v>
      </c>
      <c r="AK4" s="51" t="str">
        <f>LOOKUP(AJ4,{0,2,2.25,2.5,2.75,3,3.25,3.5,3.75,4},{"F","C-","C","C+","B-","B","B+","A-","A","A+"})</f>
        <v>B+</v>
      </c>
    </row>
    <row r="5" spans="1:37">
      <c r="A5" s="51">
        <v>3</v>
      </c>
      <c r="B5" s="51">
        <v>2011236003</v>
      </c>
      <c r="C5" s="51">
        <v>19</v>
      </c>
      <c r="D5" s="51">
        <v>67</v>
      </c>
      <c r="E5" s="51">
        <v>26</v>
      </c>
      <c r="F5" s="51">
        <f t="shared" si="1"/>
        <v>94</v>
      </c>
      <c r="G5" s="51">
        <v>3</v>
      </c>
      <c r="H5" s="51" t="str">
        <f>LOOKUP(F5,{0,40,45,50,55,60,65,70,75,80,100},{"F","C-","C","C+","B-","B","B+","A-","A","A+","Invalid Entry"})</f>
        <v>A+</v>
      </c>
      <c r="I5" s="51">
        <f>LOOKUP(F5,{0,40,45,50,55,60,65,70,75,80,100},{0,2,2.25,2.5,2.75,3,3.25,3.5,3.75,4,"Invalid Entry"})</f>
        <v>4</v>
      </c>
      <c r="J5" s="39"/>
      <c r="K5" s="51">
        <v>13</v>
      </c>
      <c r="L5" s="51">
        <v>57</v>
      </c>
      <c r="M5" s="51">
        <v>26</v>
      </c>
      <c r="N5" s="51">
        <f t="shared" si="2"/>
        <v>78</v>
      </c>
      <c r="O5" s="51">
        <v>4</v>
      </c>
      <c r="P5" s="51" t="str">
        <f>LOOKUP(N5,{0,40,45,50,55,60,65,70,75,80,100},{"F","C-","C","C+","B-","B","B+","A-","A","A+","Invalid Entry"})</f>
        <v>A</v>
      </c>
      <c r="Q5" s="51">
        <f>LOOKUP(N5,{0,40,45,50,55,60,65,70,75,80,100},{0,2,2.25,2.5,2.75,3,3.25,3.5,3.75,4,"Invalid Entry"})</f>
        <v>3.75</v>
      </c>
      <c r="R5" s="39"/>
      <c r="S5" s="51">
        <v>20</v>
      </c>
      <c r="T5" s="51">
        <v>57</v>
      </c>
      <c r="U5" s="51">
        <v>26</v>
      </c>
      <c r="V5" s="51">
        <f t="shared" si="3"/>
        <v>85</v>
      </c>
      <c r="W5" s="51">
        <v>3</v>
      </c>
      <c r="X5" s="51" t="str">
        <f>LOOKUP(V5,{0,40,45,50,55,60,65,70,75,80,100},{"F","C-","C","C+","B-","B","B+","A-","A","A+","Invalid Entry"})</f>
        <v>A+</v>
      </c>
      <c r="Y5" s="51">
        <f>LOOKUP(V5,{0,40,45,50,55,60,65,70,75,80,100},{0,2,2.25,2.5,2.75,3,3.25,3.5,3.75,4,"Invalid Entry"})</f>
        <v>4</v>
      </c>
      <c r="Z5" s="39"/>
      <c r="AA5" s="51">
        <v>11</v>
      </c>
      <c r="AB5" s="51">
        <v>57</v>
      </c>
      <c r="AC5" s="51">
        <v>26</v>
      </c>
      <c r="AD5" s="51">
        <f t="shared" si="4"/>
        <v>76</v>
      </c>
      <c r="AE5" s="51">
        <v>2</v>
      </c>
      <c r="AF5" s="51" t="str">
        <f>LOOKUP(AD5,{0,40,45,50,55,60,65,70,75,80,100},{"F","C-","C","C+","B-","B","B+","A-","A","A+","Invalid Entry"})</f>
        <v>A</v>
      </c>
      <c r="AG5" s="51">
        <f>LOOKUP(AD5,{0,40,45,50,55,60,65,70,75,80,100},{0,2,2.25,2.5,2.75,3,3.25,3.5,3.75,4,"Invalid Entry"})</f>
        <v>3.75</v>
      </c>
      <c r="AH5" s="42"/>
      <c r="AI5" s="51">
        <f t="shared" si="0"/>
        <v>12</v>
      </c>
      <c r="AJ5" s="51">
        <f t="shared" si="5"/>
        <v>3.88</v>
      </c>
      <c r="AK5" s="51" t="str">
        <f>LOOKUP(AJ5,{0,2,2.25,2.5,2.75,3,3.25,3.5,3.75,4},{"F","C-","C","C+","B-","B","B+","A-","A","A+"})</f>
        <v>A</v>
      </c>
    </row>
    <row r="6" spans="1:37">
      <c r="A6" s="51">
        <v>4</v>
      </c>
      <c r="B6" s="51">
        <v>2011236004</v>
      </c>
      <c r="C6" s="51">
        <v>15</v>
      </c>
      <c r="D6" s="51">
        <v>55</v>
      </c>
      <c r="E6" s="51">
        <v>31</v>
      </c>
      <c r="F6" s="51">
        <f t="shared" si="1"/>
        <v>80</v>
      </c>
      <c r="G6" s="51">
        <v>3</v>
      </c>
      <c r="H6" s="51" t="str">
        <f>LOOKUP(F6,{0,40,45,50,55,60,65,70,75,80,100},{"F","C-","C","C+","B-","B","B+","A-","A","A+","Invalid Entry"})</f>
        <v>A+</v>
      </c>
      <c r="I6" s="51">
        <f>LOOKUP(F6,{0,40,45,50,55,60,65,70,75,80,100},{0,2,2.25,2.5,2.75,3,3.25,3.5,3.75,4,"Invalid Entry"})</f>
        <v>4</v>
      </c>
      <c r="J6" s="39"/>
      <c r="K6" s="51">
        <v>14</v>
      </c>
      <c r="L6" s="51">
        <v>55</v>
      </c>
      <c r="M6" s="51">
        <v>31</v>
      </c>
      <c r="N6" s="51">
        <f t="shared" si="2"/>
        <v>79</v>
      </c>
      <c r="O6" s="51">
        <v>4</v>
      </c>
      <c r="P6" s="51" t="str">
        <f>LOOKUP(N6,{0,40,45,50,55,60,65,70,75,80,100},{"F","C-","C","C+","B-","B","B+","A-","A","A+","Invalid Entry"})</f>
        <v>A</v>
      </c>
      <c r="Q6" s="51">
        <f>LOOKUP(N6,{0,40,45,50,55,60,65,70,75,80,100},{0,2,2.25,2.5,2.75,3,3.25,3.5,3.75,4,"Invalid Entry"})</f>
        <v>3.75</v>
      </c>
      <c r="R6" s="39"/>
      <c r="S6" s="51">
        <v>10</v>
      </c>
      <c r="T6" s="51">
        <v>55</v>
      </c>
      <c r="U6" s="51">
        <v>31</v>
      </c>
      <c r="V6" s="51">
        <f t="shared" si="3"/>
        <v>75</v>
      </c>
      <c r="W6" s="51">
        <v>3</v>
      </c>
      <c r="X6" s="51" t="str">
        <f>LOOKUP(V6,{0,40,45,50,55,60,65,70,75,80,100},{"F","C-","C","C+","B-","B","B+","A-","A","A+","Invalid Entry"})</f>
        <v>A</v>
      </c>
      <c r="Y6" s="51">
        <f>LOOKUP(V6,{0,40,45,50,55,60,65,70,75,80,100},{0,2,2.25,2.5,2.75,3,3.25,3.5,3.75,4,"Invalid Entry"})</f>
        <v>3.75</v>
      </c>
      <c r="Z6" s="39"/>
      <c r="AA6" s="51">
        <v>16</v>
      </c>
      <c r="AB6" s="51">
        <v>55</v>
      </c>
      <c r="AC6" s="51">
        <v>31</v>
      </c>
      <c r="AD6" s="51">
        <f t="shared" si="4"/>
        <v>81</v>
      </c>
      <c r="AE6" s="51">
        <v>2</v>
      </c>
      <c r="AF6" s="51" t="str">
        <f>LOOKUP(AD6,{0,40,45,50,55,60,65,70,75,80,100},{"F","C-","C","C+","B-","B","B+","A-","A","A+","Invalid Entry"})</f>
        <v>A+</v>
      </c>
      <c r="AG6" s="51">
        <f>LOOKUP(AD6,{0,40,45,50,55,60,65,70,75,80,100},{0,2,2.25,2.5,2.75,3,3.25,3.5,3.75,4,"Invalid Entry"})</f>
        <v>4</v>
      </c>
      <c r="AH6" s="42"/>
      <c r="AI6" s="51">
        <f t="shared" si="0"/>
        <v>12</v>
      </c>
      <c r="AJ6" s="51">
        <f t="shared" si="5"/>
        <v>3.85</v>
      </c>
      <c r="AK6" s="51" t="str">
        <f>LOOKUP(AJ6,{0,2,2.25,2.5,2.75,3,3.25,3.5,3.75,4},{"F","C-","C","C+","B-","B","B+","A-","A","A+"})</f>
        <v>A</v>
      </c>
    </row>
    <row r="7" spans="1:37">
      <c r="A7" s="51">
        <v>5</v>
      </c>
      <c r="B7" s="51">
        <v>2011236005</v>
      </c>
      <c r="C7" s="51">
        <v>19</v>
      </c>
      <c r="D7" s="51">
        <v>56</v>
      </c>
      <c r="E7" s="51">
        <v>25</v>
      </c>
      <c r="F7" s="51">
        <f t="shared" si="1"/>
        <v>83</v>
      </c>
      <c r="G7" s="51">
        <v>3</v>
      </c>
      <c r="H7" s="51" t="str">
        <f>LOOKUP(F7,{0,40,45,50,55,60,65,70,75,80,100},{"F","C-","C","C+","B-","B","B+","A-","A","A+","Invalid Entry"})</f>
        <v>A+</v>
      </c>
      <c r="I7" s="51">
        <f>LOOKUP(F7,{0,40,45,50,55,60,65,70,75,80,100},{0,2,2.25,2.5,2.75,3,3.25,3.5,3.75,4,"Invalid Entry"})</f>
        <v>4</v>
      </c>
      <c r="J7" s="39"/>
      <c r="K7" s="51">
        <v>19</v>
      </c>
      <c r="L7" s="51">
        <v>56</v>
      </c>
      <c r="M7" s="51">
        <v>25</v>
      </c>
      <c r="N7" s="51">
        <f t="shared" si="2"/>
        <v>83</v>
      </c>
      <c r="O7" s="51">
        <v>4</v>
      </c>
      <c r="P7" s="51" t="str">
        <f>LOOKUP(N7,{0,40,45,50,55,60,65,70,75,80,100},{"F","C-","C","C+","B-","B","B+","A-","A","A+","Invalid Entry"})</f>
        <v>A+</v>
      </c>
      <c r="Q7" s="51">
        <f>LOOKUP(N7,{0,40,45,50,55,60,65,70,75,80,100},{0,2,2.25,2.5,2.75,3,3.25,3.5,3.75,4,"Invalid Entry"})</f>
        <v>4</v>
      </c>
      <c r="R7" s="39"/>
      <c r="S7" s="51">
        <v>17</v>
      </c>
      <c r="T7" s="51">
        <v>56</v>
      </c>
      <c r="U7" s="51">
        <v>25</v>
      </c>
      <c r="V7" s="51">
        <f t="shared" si="3"/>
        <v>81</v>
      </c>
      <c r="W7" s="51">
        <v>3</v>
      </c>
      <c r="X7" s="51" t="str">
        <f>LOOKUP(V7,{0,40,45,50,55,60,65,70,75,80,100},{"F","C-","C","C+","B-","B","B+","A-","A","A+","Invalid Entry"})</f>
        <v>A+</v>
      </c>
      <c r="Y7" s="51">
        <f>LOOKUP(V7,{0,40,45,50,55,60,65,70,75,80,100},{0,2,2.25,2.5,2.75,3,3.25,3.5,3.75,4,"Invalid Entry"})</f>
        <v>4</v>
      </c>
      <c r="Z7" s="39"/>
      <c r="AA7" s="51">
        <v>10</v>
      </c>
      <c r="AB7" s="51">
        <v>56</v>
      </c>
      <c r="AC7" s="51">
        <v>25</v>
      </c>
      <c r="AD7" s="51">
        <f t="shared" si="4"/>
        <v>74</v>
      </c>
      <c r="AE7" s="51">
        <v>2</v>
      </c>
      <c r="AF7" s="51" t="str">
        <f>LOOKUP(AD7,{0,40,45,50,55,60,65,70,75,80,100},{"F","C-","C","C+","B-","B","B+","A-","A","A+","Invalid Entry"})</f>
        <v>A-</v>
      </c>
      <c r="AG7" s="51">
        <f>LOOKUP(AD7,{0,40,45,50,55,60,65,70,75,80,100},{0,2,2.25,2.5,2.75,3,3.25,3.5,3.75,4,"Invalid Entry"})</f>
        <v>3.5</v>
      </c>
      <c r="AH7" s="42"/>
      <c r="AI7" s="51">
        <f t="shared" si="0"/>
        <v>12</v>
      </c>
      <c r="AJ7" s="51">
        <f t="shared" si="5"/>
        <v>3.92</v>
      </c>
      <c r="AK7" s="51" t="str">
        <f>LOOKUP(AJ7,{0,2,2.25,2.5,2.75,3,3.25,3.5,3.75,4},{"F","C-","C","C+","B-","B","B+","A-","A","A+"})</f>
        <v>A</v>
      </c>
    </row>
    <row r="8" spans="1:37">
      <c r="A8" s="51">
        <v>6</v>
      </c>
      <c r="B8" s="51">
        <v>2011236006</v>
      </c>
      <c r="C8" s="51">
        <v>14</v>
      </c>
      <c r="D8" s="51">
        <v>62</v>
      </c>
      <c r="E8" s="51">
        <v>21</v>
      </c>
      <c r="F8" s="51">
        <f t="shared" si="1"/>
        <v>83</v>
      </c>
      <c r="G8" s="51">
        <v>3</v>
      </c>
      <c r="H8" s="51" t="str">
        <f>LOOKUP(F8,{0,40,45,50,55,60,65,70,75,80,100},{"F","C-","C","C+","B-","B","B+","A-","A","A+","Invalid Entry"})</f>
        <v>A+</v>
      </c>
      <c r="I8" s="51">
        <f>LOOKUP(F8,{0,40,45,50,55,60,65,70,75,80,100},{0,2,2.25,2.5,2.75,3,3.25,3.5,3.75,4,"Invalid Entry"})</f>
        <v>4</v>
      </c>
      <c r="J8" s="39"/>
      <c r="K8" s="51">
        <v>18</v>
      </c>
      <c r="L8" s="51">
        <v>62</v>
      </c>
      <c r="M8" s="51">
        <v>21</v>
      </c>
      <c r="N8" s="51">
        <f t="shared" si="2"/>
        <v>87</v>
      </c>
      <c r="O8" s="51">
        <v>4</v>
      </c>
      <c r="P8" s="51" t="str">
        <f>LOOKUP(N8,{0,40,45,50,55,60,65,70,75,80,100},{"F","C-","C","C+","B-","B","B+","A-","A","A+","Invalid Entry"})</f>
        <v>A+</v>
      </c>
      <c r="Q8" s="51">
        <f>LOOKUP(N8,{0,40,45,50,55,60,65,70,75,80,100},{0,2,2.25,2.5,2.75,3,3.25,3.5,3.75,4,"Invalid Entry"})</f>
        <v>4</v>
      </c>
      <c r="R8" s="39"/>
      <c r="S8" s="51">
        <v>13</v>
      </c>
      <c r="T8" s="51">
        <v>62</v>
      </c>
      <c r="U8" s="51">
        <v>21</v>
      </c>
      <c r="V8" s="51">
        <f t="shared" si="3"/>
        <v>82</v>
      </c>
      <c r="W8" s="51">
        <v>3</v>
      </c>
      <c r="X8" s="51" t="str">
        <f>LOOKUP(V8,{0,40,45,50,55,60,65,70,75,80,100},{"F","C-","C","C+","B-","B","B+","A-","A","A+","Invalid Entry"})</f>
        <v>A+</v>
      </c>
      <c r="Y8" s="51">
        <f>LOOKUP(V8,{0,40,45,50,55,60,65,70,75,80,100},{0,2,2.25,2.5,2.75,3,3.25,3.5,3.75,4,"Invalid Entry"})</f>
        <v>4</v>
      </c>
      <c r="Z8" s="39"/>
      <c r="AA8" s="51">
        <v>14</v>
      </c>
      <c r="AB8" s="51">
        <v>62</v>
      </c>
      <c r="AC8" s="51">
        <v>21</v>
      </c>
      <c r="AD8" s="51">
        <f t="shared" si="4"/>
        <v>83</v>
      </c>
      <c r="AE8" s="51">
        <v>2</v>
      </c>
      <c r="AF8" s="51" t="str">
        <f>LOOKUP(AD8,{0,40,45,50,55,60,65,70,75,80,100},{"F","C-","C","C+","B-","B","B+","A-","A","A+","Invalid Entry"})</f>
        <v>A+</v>
      </c>
      <c r="AG8" s="51">
        <f>LOOKUP(AD8,{0,40,45,50,55,60,65,70,75,80,100},{0,2,2.25,2.5,2.75,3,3.25,3.5,3.75,4,"Invalid Entry"})</f>
        <v>4</v>
      </c>
      <c r="AH8" s="42"/>
      <c r="AI8" s="51">
        <f t="shared" si="0"/>
        <v>12</v>
      </c>
      <c r="AJ8" s="51">
        <f t="shared" si="5"/>
        <v>4</v>
      </c>
      <c r="AK8" s="51" t="str">
        <f>LOOKUP(AJ8,{0,2,2.25,2.5,2.75,3,3.25,3.5,3.75,4},{"F","C-","C","C+","B-","B","B+","A-","A","A+"})</f>
        <v>A+</v>
      </c>
    </row>
    <row r="9" spans="1:37">
      <c r="A9" s="51">
        <v>7</v>
      </c>
      <c r="B9" s="51">
        <v>2011236007</v>
      </c>
      <c r="C9" s="51">
        <v>10</v>
      </c>
      <c r="D9" s="51">
        <v>54</v>
      </c>
      <c r="E9" s="51">
        <v>31</v>
      </c>
      <c r="F9" s="51">
        <f t="shared" si="1"/>
        <v>74</v>
      </c>
      <c r="G9" s="51">
        <v>3</v>
      </c>
      <c r="H9" s="51" t="str">
        <f>LOOKUP(F9,{0,40,45,50,55,60,65,70,75,80,100},{"F","C-","C","C+","B-","B","B+","A-","A","A+","Invalid Entry"})</f>
        <v>A-</v>
      </c>
      <c r="I9" s="51">
        <f>LOOKUP(F9,{0,40,45,50,55,60,65,70,75,80,100},{0,2,2.25,2.5,2.75,3,3.25,3.5,3.75,4,"Invalid Entry"})</f>
        <v>3.5</v>
      </c>
      <c r="J9" s="39"/>
      <c r="K9" s="51">
        <v>18</v>
      </c>
      <c r="L9" s="51">
        <v>54</v>
      </c>
      <c r="M9" s="51">
        <v>31</v>
      </c>
      <c r="N9" s="51">
        <f t="shared" si="2"/>
        <v>82</v>
      </c>
      <c r="O9" s="51">
        <v>4</v>
      </c>
      <c r="P9" s="51" t="str">
        <f>LOOKUP(N9,{0,40,45,50,55,60,65,70,75,80,100},{"F","C-","C","C+","B-","B","B+","A-","A","A+","Invalid Entry"})</f>
        <v>A+</v>
      </c>
      <c r="Q9" s="51">
        <f>LOOKUP(N9,{0,40,45,50,55,60,65,70,75,80,100},{0,2,2.25,2.5,2.75,3,3.25,3.5,3.75,4,"Invalid Entry"})</f>
        <v>4</v>
      </c>
      <c r="R9" s="39"/>
      <c r="S9" s="51">
        <v>20</v>
      </c>
      <c r="T9" s="51">
        <v>54</v>
      </c>
      <c r="U9" s="51">
        <v>31</v>
      </c>
      <c r="V9" s="51">
        <f t="shared" si="3"/>
        <v>84</v>
      </c>
      <c r="W9" s="51">
        <v>3</v>
      </c>
      <c r="X9" s="51" t="str">
        <f>LOOKUP(V9,{0,40,45,50,55,60,65,70,75,80,100},{"F","C-","C","C+","B-","B","B+","A-","A","A+","Invalid Entry"})</f>
        <v>A+</v>
      </c>
      <c r="Y9" s="51">
        <f>LOOKUP(V9,{0,40,45,50,55,60,65,70,75,80,100},{0,2,2.25,2.5,2.75,3,3.25,3.5,3.75,4,"Invalid Entry"})</f>
        <v>4</v>
      </c>
      <c r="Z9" s="39"/>
      <c r="AA9" s="51">
        <v>5</v>
      </c>
      <c r="AB9" s="51">
        <v>54</v>
      </c>
      <c r="AC9" s="51">
        <v>31</v>
      </c>
      <c r="AD9" s="51">
        <f t="shared" si="4"/>
        <v>69</v>
      </c>
      <c r="AE9" s="51">
        <v>2</v>
      </c>
      <c r="AF9" s="51" t="str">
        <f>LOOKUP(AD9,{0,40,45,50,55,60,65,70,75,80,100},{"F","C-","C","C+","B-","B","B+","A-","A","A+","Invalid Entry"})</f>
        <v>B+</v>
      </c>
      <c r="AG9" s="51">
        <f>LOOKUP(AD9,{0,40,45,50,55,60,65,70,75,80,100},{0,2,2.25,2.5,2.75,3,3.25,3.5,3.75,4,"Invalid Entry"})</f>
        <v>3.25</v>
      </c>
      <c r="AH9" s="42"/>
      <c r="AI9" s="51">
        <f t="shared" si="0"/>
        <v>12</v>
      </c>
      <c r="AJ9" s="51">
        <f t="shared" si="5"/>
        <v>3.75</v>
      </c>
      <c r="AK9" s="51" t="str">
        <f>LOOKUP(AJ9,{0,2,2.25,2.5,2.75,3,3.25,3.5,3.75,4},{"F","C-","C","C+","B-","B","B+","A-","A","A+"})</f>
        <v>A</v>
      </c>
    </row>
    <row r="10" spans="1:37">
      <c r="A10" s="51">
        <v>8</v>
      </c>
      <c r="B10" s="51">
        <v>2011236008</v>
      </c>
      <c r="C10" s="51">
        <v>18</v>
      </c>
      <c r="D10" s="51">
        <v>51</v>
      </c>
      <c r="E10" s="51">
        <v>30</v>
      </c>
      <c r="F10" s="51">
        <f t="shared" si="1"/>
        <v>79</v>
      </c>
      <c r="G10" s="51">
        <v>3</v>
      </c>
      <c r="H10" s="51" t="str">
        <f>LOOKUP(F10,{0,40,45,50,55,60,65,70,75,80,100},{"F","C-","C","C+","B-","B","B+","A-","A","A+","Invalid Entry"})</f>
        <v>A</v>
      </c>
      <c r="I10" s="51">
        <f>LOOKUP(F10,{0,40,45,50,55,60,65,70,75,80,100},{0,2,2.25,2.5,2.75,3,3.25,3.5,3.75,4,"Invalid Entry"})</f>
        <v>3.75</v>
      </c>
      <c r="J10" s="39"/>
      <c r="K10" s="51">
        <v>15</v>
      </c>
      <c r="L10" s="51">
        <v>51</v>
      </c>
      <c r="M10" s="51">
        <v>30</v>
      </c>
      <c r="N10" s="51">
        <f t="shared" si="2"/>
        <v>76</v>
      </c>
      <c r="O10" s="51">
        <v>4</v>
      </c>
      <c r="P10" s="51" t="str">
        <f>LOOKUP(N10,{0,40,45,50,55,60,65,70,75,80,100},{"F","C-","C","C+","B-","B","B+","A-","A","A+","Invalid Entry"})</f>
        <v>A</v>
      </c>
      <c r="Q10" s="51">
        <f>LOOKUP(N10,{0,40,45,50,55,60,65,70,75,80,100},{0,2,2.25,2.5,2.75,3,3.25,3.5,3.75,4,"Invalid Entry"})</f>
        <v>3.75</v>
      </c>
      <c r="R10" s="39"/>
      <c r="S10" s="51">
        <v>17</v>
      </c>
      <c r="T10" s="51">
        <v>51</v>
      </c>
      <c r="U10" s="51">
        <v>30</v>
      </c>
      <c r="V10" s="51">
        <f t="shared" si="3"/>
        <v>78</v>
      </c>
      <c r="W10" s="51">
        <v>3</v>
      </c>
      <c r="X10" s="51" t="str">
        <f>LOOKUP(V10,{0,40,45,50,55,60,65,70,75,80,100},{"F","C-","C","C+","B-","B","B+","A-","A","A+","Invalid Entry"})</f>
        <v>A</v>
      </c>
      <c r="Y10" s="51">
        <f>LOOKUP(V10,{0,40,45,50,55,60,65,70,75,80,100},{0,2,2.25,2.5,2.75,3,3.25,3.5,3.75,4,"Invalid Entry"})</f>
        <v>3.75</v>
      </c>
      <c r="Z10" s="39"/>
      <c r="AA10" s="51">
        <v>7</v>
      </c>
      <c r="AB10" s="51">
        <v>51</v>
      </c>
      <c r="AC10" s="51">
        <v>30</v>
      </c>
      <c r="AD10" s="51">
        <f t="shared" si="4"/>
        <v>68</v>
      </c>
      <c r="AE10" s="51">
        <v>2</v>
      </c>
      <c r="AF10" s="51" t="str">
        <f>LOOKUP(AD10,{0,40,45,50,55,60,65,70,75,80,100},{"F","C-","C","C+","B-","B","B+","A-","A","A+","Invalid Entry"})</f>
        <v>B+</v>
      </c>
      <c r="AG10" s="51">
        <f>LOOKUP(AD10,{0,40,45,50,55,60,65,70,75,80,100},{0,2,2.25,2.5,2.75,3,3.25,3.5,3.75,4,"Invalid Entry"})</f>
        <v>3.25</v>
      </c>
      <c r="AH10" s="42"/>
      <c r="AI10" s="51">
        <f t="shared" si="0"/>
        <v>12</v>
      </c>
      <c r="AJ10" s="51">
        <f t="shared" si="5"/>
        <v>3.67</v>
      </c>
      <c r="AK10" s="51" t="str">
        <f>LOOKUP(AJ10,{0,2,2.25,2.5,2.75,3,3.25,3.5,3.75,4},{"F","C-","C","C+","B-","B","B+","A-","A","A+"})</f>
        <v>A-</v>
      </c>
    </row>
    <row r="11" spans="1:37">
      <c r="A11" s="51">
        <v>9</v>
      </c>
      <c r="B11" s="51">
        <v>2011236009</v>
      </c>
      <c r="C11" s="51">
        <v>9</v>
      </c>
      <c r="D11" s="51">
        <v>54</v>
      </c>
      <c r="E11" s="51">
        <v>33</v>
      </c>
      <c r="F11" s="51">
        <f t="shared" si="1"/>
        <v>73</v>
      </c>
      <c r="G11" s="51">
        <v>3</v>
      </c>
      <c r="H11" s="51" t="str">
        <f>LOOKUP(F11,{0,40,45,50,55,60,65,70,75,80,100},{"F","C-","C","C+","B-","B","B+","A-","A","A+","Invalid Entry"})</f>
        <v>A-</v>
      </c>
      <c r="I11" s="51">
        <f>LOOKUP(F11,{0,40,45,50,55,60,65,70,75,80,100},{0,2,2.25,2.5,2.75,3,3.25,3.5,3.75,4,"Invalid Entry"})</f>
        <v>3.5</v>
      </c>
      <c r="J11" s="39"/>
      <c r="K11" s="51">
        <v>12</v>
      </c>
      <c r="L11" s="51">
        <v>54</v>
      </c>
      <c r="M11" s="51">
        <v>33</v>
      </c>
      <c r="N11" s="51">
        <f t="shared" si="2"/>
        <v>76</v>
      </c>
      <c r="O11" s="51">
        <v>4</v>
      </c>
      <c r="P11" s="51" t="str">
        <f>LOOKUP(N11,{0,40,45,50,55,60,65,70,75,80,100},{"F","C-","C","C+","B-","B","B+","A-","A","A+","Invalid Entry"})</f>
        <v>A</v>
      </c>
      <c r="Q11" s="51">
        <f>LOOKUP(N11,{0,40,45,50,55,60,65,70,75,80,100},{0,2,2.25,2.5,2.75,3,3.25,3.5,3.75,4,"Invalid Entry"})</f>
        <v>3.75</v>
      </c>
      <c r="R11" s="39"/>
      <c r="S11" s="51">
        <v>13</v>
      </c>
      <c r="T11" s="51">
        <v>54</v>
      </c>
      <c r="U11" s="51">
        <v>33</v>
      </c>
      <c r="V11" s="51">
        <f t="shared" si="3"/>
        <v>77</v>
      </c>
      <c r="W11" s="51">
        <v>3</v>
      </c>
      <c r="X11" s="51" t="str">
        <f>LOOKUP(V11,{0,40,45,50,55,60,65,70,75,80,100},{"F","C-","C","C+","B-","B","B+","A-","A","A+","Invalid Entry"})</f>
        <v>A</v>
      </c>
      <c r="Y11" s="51">
        <f>LOOKUP(V11,{0,40,45,50,55,60,65,70,75,80,100},{0,2,2.25,2.5,2.75,3,3.25,3.5,3.75,4,"Invalid Entry"})</f>
        <v>3.75</v>
      </c>
      <c r="Z11" s="39"/>
      <c r="AA11" s="51">
        <v>14</v>
      </c>
      <c r="AB11" s="51">
        <v>54</v>
      </c>
      <c r="AC11" s="51">
        <v>33</v>
      </c>
      <c r="AD11" s="51">
        <f t="shared" si="4"/>
        <v>78</v>
      </c>
      <c r="AE11" s="51">
        <v>2</v>
      </c>
      <c r="AF11" s="51" t="str">
        <f>LOOKUP(AD11,{0,40,45,50,55,60,65,70,75,80,100},{"F","C-","C","C+","B-","B","B+","A-","A","A+","Invalid Entry"})</f>
        <v>A</v>
      </c>
      <c r="AG11" s="51">
        <f>LOOKUP(AD11,{0,40,45,50,55,60,65,70,75,80,100},{0,2,2.25,2.5,2.75,3,3.25,3.5,3.75,4,"Invalid Entry"})</f>
        <v>3.75</v>
      </c>
      <c r="AH11" s="42"/>
      <c r="AI11" s="51">
        <f t="shared" si="0"/>
        <v>12</v>
      </c>
      <c r="AJ11" s="51">
        <f t="shared" si="5"/>
        <v>3.69</v>
      </c>
      <c r="AK11" s="51" t="str">
        <f>LOOKUP(AJ11,{0,2,2.25,2.5,2.75,3,3.25,3.5,3.75,4},{"F","C-","C","C+","B-","B","B+","A-","A","A+"})</f>
        <v>A-</v>
      </c>
    </row>
    <row r="12" spans="1:37">
      <c r="A12" s="51">
        <v>10</v>
      </c>
      <c r="B12" s="51">
        <v>2011236010</v>
      </c>
      <c r="C12" s="51">
        <v>16</v>
      </c>
      <c r="D12" s="51">
        <v>70</v>
      </c>
      <c r="E12" s="51">
        <v>24</v>
      </c>
      <c r="F12" s="51">
        <f t="shared" si="1"/>
        <v>94</v>
      </c>
      <c r="G12" s="51">
        <v>3</v>
      </c>
      <c r="H12" s="51" t="str">
        <f>LOOKUP(F12,{0,40,45,50,55,60,65,70,75,80,100},{"F","C-","C","C+","B-","B","B+","A-","A","A+","Invalid Entry"})</f>
        <v>A+</v>
      </c>
      <c r="I12" s="51">
        <f>LOOKUP(F12,{0,40,45,50,55,60,65,70,75,80,100},{0,2,2.25,2.5,2.75,3,3.25,3.5,3.75,4,"Invalid Entry"})</f>
        <v>4</v>
      </c>
      <c r="J12" s="39"/>
      <c r="K12" s="51">
        <v>10</v>
      </c>
      <c r="L12" s="51">
        <v>70</v>
      </c>
      <c r="M12" s="51">
        <v>24</v>
      </c>
      <c r="N12" s="51">
        <f t="shared" si="2"/>
        <v>88</v>
      </c>
      <c r="O12" s="51">
        <v>4</v>
      </c>
      <c r="P12" s="51" t="str">
        <f>LOOKUP(N12,{0,40,45,50,55,60,65,70,75,80,100},{"F","C-","C","C+","B-","B","B+","A-","A","A+","Invalid Entry"})</f>
        <v>A+</v>
      </c>
      <c r="Q12" s="51">
        <f>LOOKUP(N12,{0,40,45,50,55,60,65,70,75,80,100},{0,2,2.25,2.5,2.75,3,3.25,3.5,3.75,4,"Invalid Entry"})</f>
        <v>4</v>
      </c>
      <c r="R12" s="39"/>
      <c r="S12" s="51">
        <v>15</v>
      </c>
      <c r="T12" s="51">
        <v>70</v>
      </c>
      <c r="U12" s="51">
        <v>24</v>
      </c>
      <c r="V12" s="51">
        <f t="shared" si="3"/>
        <v>93</v>
      </c>
      <c r="W12" s="51">
        <v>3</v>
      </c>
      <c r="X12" s="51" t="str">
        <f>LOOKUP(V12,{0,40,45,50,55,60,65,70,75,80,100},{"F","C-","C","C+","B-","B","B+","A-","A","A+","Invalid Entry"})</f>
        <v>A+</v>
      </c>
      <c r="Y12" s="51">
        <f>LOOKUP(V12,{0,40,45,50,55,60,65,70,75,80,100},{0,2,2.25,2.5,2.75,3,3.25,3.5,3.75,4,"Invalid Entry"})</f>
        <v>4</v>
      </c>
      <c r="Z12" s="39"/>
      <c r="AA12" s="51">
        <v>10</v>
      </c>
      <c r="AB12" s="51">
        <v>70</v>
      </c>
      <c r="AC12" s="51">
        <v>24</v>
      </c>
      <c r="AD12" s="51">
        <f t="shared" si="4"/>
        <v>88</v>
      </c>
      <c r="AE12" s="51">
        <v>2</v>
      </c>
      <c r="AF12" s="51" t="str">
        <f>LOOKUP(AD12,{0,40,45,50,55,60,65,70,75,80,100},{"F","C-","C","C+","B-","B","B+","A-","A","A+","Invalid Entry"})</f>
        <v>A+</v>
      </c>
      <c r="AG12" s="51">
        <f>LOOKUP(AD12,{0,40,45,50,55,60,65,70,75,80,100},{0,2,2.25,2.5,2.75,3,3.25,3.5,3.75,4,"Invalid Entry"})</f>
        <v>4</v>
      </c>
      <c r="AH12" s="42"/>
      <c r="AI12" s="51">
        <f t="shared" si="0"/>
        <v>12</v>
      </c>
      <c r="AJ12" s="51">
        <f t="shared" si="5"/>
        <v>4</v>
      </c>
      <c r="AK12" s="51" t="str">
        <f>LOOKUP(AJ12,{0,2,2.25,2.5,2.75,3,3.25,3.5,3.75,4},{"F","C-","C","C+","B-","B","B+","A-","A","A+"})</f>
        <v>A+</v>
      </c>
    </row>
    <row r="13" spans="1:37">
      <c r="A13" s="51">
        <v>11</v>
      </c>
      <c r="B13" s="51">
        <v>2011236011</v>
      </c>
      <c r="C13" s="51">
        <v>16</v>
      </c>
      <c r="D13" s="51">
        <v>66</v>
      </c>
      <c r="E13" s="51">
        <v>31</v>
      </c>
      <c r="F13" s="51">
        <f t="shared" si="1"/>
        <v>92</v>
      </c>
      <c r="G13" s="51">
        <v>3</v>
      </c>
      <c r="H13" s="51" t="str">
        <f>LOOKUP(F13,{0,40,45,50,55,60,65,70,75,80,100},{"F","C-","C","C+","B-","B","B+","A-","A","A+","Invalid Entry"})</f>
        <v>A+</v>
      </c>
      <c r="I13" s="51">
        <f>LOOKUP(F13,{0,40,45,50,55,60,65,70,75,80,100},{0,2,2.25,2.5,2.75,3,3.25,3.5,3.75,4,"Invalid Entry"})</f>
        <v>4</v>
      </c>
      <c r="J13" s="39"/>
      <c r="K13" s="51">
        <v>15</v>
      </c>
      <c r="L13" s="51">
        <v>66</v>
      </c>
      <c r="M13" s="51">
        <v>31</v>
      </c>
      <c r="N13" s="51">
        <f t="shared" si="2"/>
        <v>91</v>
      </c>
      <c r="O13" s="51">
        <v>4</v>
      </c>
      <c r="P13" s="51" t="str">
        <f>LOOKUP(N13,{0,40,45,50,55,60,65,70,75,80,100},{"F","C-","C","C+","B-","B","B+","A-","A","A+","Invalid Entry"})</f>
        <v>A+</v>
      </c>
      <c r="Q13" s="51">
        <f>LOOKUP(N13,{0,40,45,50,55,60,65,70,75,80,100},{0,2,2.25,2.5,2.75,3,3.25,3.5,3.75,4,"Invalid Entry"})</f>
        <v>4</v>
      </c>
      <c r="R13" s="39"/>
      <c r="S13" s="51">
        <v>20</v>
      </c>
      <c r="T13" s="51">
        <v>66</v>
      </c>
      <c r="U13" s="51">
        <v>31</v>
      </c>
      <c r="V13" s="51">
        <f t="shared" si="3"/>
        <v>96</v>
      </c>
      <c r="W13" s="51">
        <v>3</v>
      </c>
      <c r="X13" s="51" t="str">
        <f>LOOKUP(V13,{0,40,45,50,55,60,65,70,75,80,100},{"F","C-","C","C+","B-","B","B+","A-","A","A+","Invalid Entry"})</f>
        <v>A+</v>
      </c>
      <c r="Y13" s="51">
        <f>LOOKUP(V13,{0,40,45,50,55,60,65,70,75,80,100},{0,2,2.25,2.5,2.75,3,3.25,3.5,3.75,4,"Invalid Entry"})</f>
        <v>4</v>
      </c>
      <c r="Z13" s="39"/>
      <c r="AA13" s="51">
        <v>13</v>
      </c>
      <c r="AB13" s="51">
        <v>66</v>
      </c>
      <c r="AC13" s="51">
        <v>31</v>
      </c>
      <c r="AD13" s="51">
        <f t="shared" si="4"/>
        <v>89</v>
      </c>
      <c r="AE13" s="51">
        <v>2</v>
      </c>
      <c r="AF13" s="51" t="str">
        <f>LOOKUP(AD13,{0,40,45,50,55,60,65,70,75,80,100},{"F","C-","C","C+","B-","B","B+","A-","A","A+","Invalid Entry"})</f>
        <v>A+</v>
      </c>
      <c r="AG13" s="51">
        <f>LOOKUP(AD13,{0,40,45,50,55,60,65,70,75,80,100},{0,2,2.25,2.5,2.75,3,3.25,3.5,3.75,4,"Invalid Entry"})</f>
        <v>4</v>
      </c>
      <c r="AH13" s="42"/>
      <c r="AI13" s="51">
        <f t="shared" si="0"/>
        <v>12</v>
      </c>
      <c r="AJ13" s="51">
        <f t="shared" si="5"/>
        <v>4</v>
      </c>
      <c r="AK13" s="51" t="str">
        <f>LOOKUP(AJ13,{0,2,2.25,2.5,2.75,3,3.25,3.5,3.75,4},{"F","C-","C","C+","B-","B","B+","A-","A","A+"})</f>
        <v>A+</v>
      </c>
    </row>
    <row r="14" spans="1:37">
      <c r="A14" s="51">
        <v>12</v>
      </c>
      <c r="B14" s="51">
        <v>2011236012</v>
      </c>
      <c r="C14" s="51">
        <v>19</v>
      </c>
      <c r="D14" s="51">
        <v>66</v>
      </c>
      <c r="E14" s="51">
        <v>29</v>
      </c>
      <c r="F14" s="51">
        <f t="shared" si="1"/>
        <v>94</v>
      </c>
      <c r="G14" s="51">
        <v>3</v>
      </c>
      <c r="H14" s="51" t="str">
        <f>LOOKUP(F14,{0,40,45,50,55,60,65,70,75,80,100},{"F","C-","C","C+","B-","B","B+","A-","A","A+","Invalid Entry"})</f>
        <v>A+</v>
      </c>
      <c r="I14" s="51">
        <f>LOOKUP(F14,{0,40,45,50,55,60,65,70,75,80,100},{0,2,2.25,2.5,2.75,3,3.25,3.5,3.75,4,"Invalid Entry"})</f>
        <v>4</v>
      </c>
      <c r="J14" s="39"/>
      <c r="K14" s="51">
        <v>12</v>
      </c>
      <c r="L14" s="51">
        <v>66</v>
      </c>
      <c r="M14" s="51">
        <v>29</v>
      </c>
      <c r="N14" s="51">
        <f t="shared" si="2"/>
        <v>87</v>
      </c>
      <c r="O14" s="51">
        <v>4</v>
      </c>
      <c r="P14" s="51" t="str">
        <f>LOOKUP(N14,{0,40,45,50,55,60,65,70,75,80,100},{"F","C-","C","C+","B-","B","B+","A-","A","A+","Invalid Entry"})</f>
        <v>A+</v>
      </c>
      <c r="Q14" s="51">
        <f>LOOKUP(N14,{0,40,45,50,55,60,65,70,75,80,100},{0,2,2.25,2.5,2.75,3,3.25,3.5,3.75,4,"Invalid Entry"})</f>
        <v>4</v>
      </c>
      <c r="R14" s="39"/>
      <c r="S14" s="51">
        <v>12</v>
      </c>
      <c r="T14" s="51">
        <v>66</v>
      </c>
      <c r="U14" s="51">
        <v>29</v>
      </c>
      <c r="V14" s="51">
        <f t="shared" si="3"/>
        <v>87</v>
      </c>
      <c r="W14" s="51">
        <v>3</v>
      </c>
      <c r="X14" s="51" t="str">
        <f>LOOKUP(V14,{0,40,45,50,55,60,65,70,75,80,100},{"F","C-","C","C+","B-","B","B+","A-","A","A+","Invalid Entry"})</f>
        <v>A+</v>
      </c>
      <c r="Y14" s="51">
        <f>LOOKUP(V14,{0,40,45,50,55,60,65,70,75,80,100},{0,2,2.25,2.5,2.75,3,3.25,3.5,3.75,4,"Invalid Entry"})</f>
        <v>4</v>
      </c>
      <c r="Z14" s="39"/>
      <c r="AA14" s="51">
        <v>12</v>
      </c>
      <c r="AB14" s="51">
        <v>66</v>
      </c>
      <c r="AC14" s="51">
        <v>29</v>
      </c>
      <c r="AD14" s="51">
        <f t="shared" si="4"/>
        <v>87</v>
      </c>
      <c r="AE14" s="51">
        <v>2</v>
      </c>
      <c r="AF14" s="51" t="str">
        <f>LOOKUP(AD14,{0,40,45,50,55,60,65,70,75,80,100},{"F","C-","C","C+","B-","B","B+","A-","A","A+","Invalid Entry"})</f>
        <v>A+</v>
      </c>
      <c r="AG14" s="51">
        <f>LOOKUP(AD14,{0,40,45,50,55,60,65,70,75,80,100},{0,2,2.25,2.5,2.75,3,3.25,3.5,3.75,4,"Invalid Entry"})</f>
        <v>4</v>
      </c>
      <c r="AH14" s="42"/>
      <c r="AI14" s="51">
        <f t="shared" si="0"/>
        <v>12</v>
      </c>
      <c r="AJ14" s="51">
        <f t="shared" si="5"/>
        <v>4</v>
      </c>
      <c r="AK14" s="51" t="str">
        <f>LOOKUP(AJ14,{0,2,2.25,2.5,2.75,3,3.25,3.5,3.75,4},{"F","C-","C","C+","B-","B","B+","A-","A","A+"})</f>
        <v>A+</v>
      </c>
    </row>
    <row r="15" spans="1:37">
      <c r="A15" s="51">
        <v>13</v>
      </c>
      <c r="B15" s="51">
        <v>2011236013</v>
      </c>
      <c r="C15" s="51">
        <v>11</v>
      </c>
      <c r="D15" s="51">
        <v>66</v>
      </c>
      <c r="E15" s="51">
        <v>23</v>
      </c>
      <c r="F15" s="51">
        <f t="shared" si="1"/>
        <v>84</v>
      </c>
      <c r="G15" s="51">
        <v>3</v>
      </c>
      <c r="H15" s="51" t="str">
        <f>LOOKUP(F15,{0,40,45,50,55,60,65,70,75,80,100},{"F","C-","C","C+","B-","B","B+","A-","A","A+","Invalid Entry"})</f>
        <v>A+</v>
      </c>
      <c r="I15" s="51">
        <f>LOOKUP(F15,{0,40,45,50,55,60,65,70,75,80,100},{0,2,2.25,2.5,2.75,3,3.25,3.5,3.75,4,"Invalid Entry"})</f>
        <v>4</v>
      </c>
      <c r="J15" s="39"/>
      <c r="K15" s="51">
        <v>14</v>
      </c>
      <c r="L15" s="51">
        <v>66</v>
      </c>
      <c r="M15" s="51">
        <v>23</v>
      </c>
      <c r="N15" s="51">
        <f t="shared" si="2"/>
        <v>87</v>
      </c>
      <c r="O15" s="51">
        <v>4</v>
      </c>
      <c r="P15" s="51" t="str">
        <f>LOOKUP(N15,{0,40,45,50,55,60,65,70,75,80,100},{"F","C-","C","C+","B-","B","B+","A-","A","A+","Invalid Entry"})</f>
        <v>A+</v>
      </c>
      <c r="Q15" s="51">
        <f>LOOKUP(N15,{0,40,45,50,55,60,65,70,75,80,100},{0,2,2.25,2.5,2.75,3,3.25,3.5,3.75,4,"Invalid Entry"})</f>
        <v>4</v>
      </c>
      <c r="R15" s="39"/>
      <c r="S15" s="51">
        <v>19</v>
      </c>
      <c r="T15" s="51">
        <v>66</v>
      </c>
      <c r="U15" s="51">
        <v>23</v>
      </c>
      <c r="V15" s="51">
        <f t="shared" si="3"/>
        <v>92</v>
      </c>
      <c r="W15" s="51">
        <v>3</v>
      </c>
      <c r="X15" s="51" t="str">
        <f>LOOKUP(V15,{0,40,45,50,55,60,65,70,75,80,100},{"F","C-","C","C+","B-","B","B+","A-","A","A+","Invalid Entry"})</f>
        <v>A+</v>
      </c>
      <c r="Y15" s="51">
        <f>LOOKUP(V15,{0,40,45,50,55,60,65,70,75,80,100},{0,2,2.25,2.5,2.75,3,3.25,3.5,3.75,4,"Invalid Entry"})</f>
        <v>4</v>
      </c>
      <c r="Z15" s="39"/>
      <c r="AA15" s="51">
        <v>11</v>
      </c>
      <c r="AB15" s="51">
        <v>66</v>
      </c>
      <c r="AC15" s="51">
        <v>23</v>
      </c>
      <c r="AD15" s="51">
        <f t="shared" si="4"/>
        <v>84</v>
      </c>
      <c r="AE15" s="51">
        <v>2</v>
      </c>
      <c r="AF15" s="51" t="str">
        <f>LOOKUP(AD15,{0,40,45,50,55,60,65,70,75,80,100},{"F","C-","C","C+","B-","B","B+","A-","A","A+","Invalid Entry"})</f>
        <v>A+</v>
      </c>
      <c r="AG15" s="51">
        <f>LOOKUP(AD15,{0,40,45,50,55,60,65,70,75,80,100},{0,2,2.25,2.5,2.75,3,3.25,3.5,3.75,4,"Invalid Entry"})</f>
        <v>4</v>
      </c>
      <c r="AH15" s="42"/>
      <c r="AI15" s="51">
        <f t="shared" si="0"/>
        <v>12</v>
      </c>
      <c r="AJ15" s="51">
        <f t="shared" si="5"/>
        <v>4</v>
      </c>
      <c r="AK15" s="51" t="str">
        <f>LOOKUP(AJ15,{0,2,2.25,2.5,2.75,3,3.25,3.5,3.75,4},{"F","C-","C","C+","B-","B","B+","A-","A","A+"})</f>
        <v>A+</v>
      </c>
    </row>
    <row r="16" spans="1:37">
      <c r="A16" s="51">
        <v>14</v>
      </c>
      <c r="B16" s="51">
        <v>2011236014</v>
      </c>
      <c r="C16" s="51">
        <v>7</v>
      </c>
      <c r="D16" s="51">
        <v>50</v>
      </c>
      <c r="E16" s="51">
        <v>31</v>
      </c>
      <c r="F16" s="51">
        <f t="shared" si="1"/>
        <v>67</v>
      </c>
      <c r="G16" s="51">
        <v>3</v>
      </c>
      <c r="H16" s="51" t="str">
        <f>LOOKUP(F16,{0,40,45,50,55,60,65,70,75,80,100},{"F","C-","C","C+","B-","B","B+","A-","A","A+","Invalid Entry"})</f>
        <v>B+</v>
      </c>
      <c r="I16" s="51">
        <f>LOOKUP(F16,{0,40,45,50,55,60,65,70,75,80,100},{0,2,2.25,2.5,2.75,3,3.25,3.5,3.75,4,"Invalid Entry"})</f>
        <v>3.25</v>
      </c>
      <c r="J16" s="39"/>
      <c r="K16" s="51">
        <v>17</v>
      </c>
      <c r="L16" s="51">
        <v>50</v>
      </c>
      <c r="M16" s="51">
        <v>31</v>
      </c>
      <c r="N16" s="51">
        <f t="shared" si="2"/>
        <v>77</v>
      </c>
      <c r="O16" s="51">
        <v>4</v>
      </c>
      <c r="P16" s="51" t="str">
        <f>LOOKUP(N16,{0,40,45,50,55,60,65,70,75,80,100},{"F","C-","C","C+","B-","B","B+","A-","A","A+","Invalid Entry"})</f>
        <v>A</v>
      </c>
      <c r="Q16" s="51">
        <f>LOOKUP(N16,{0,40,45,50,55,60,65,70,75,80,100},{0,2,2.25,2.5,2.75,3,3.25,3.5,3.75,4,"Invalid Entry"})</f>
        <v>3.75</v>
      </c>
      <c r="R16" s="39"/>
      <c r="S16" s="51">
        <v>11</v>
      </c>
      <c r="T16" s="51">
        <v>50</v>
      </c>
      <c r="U16" s="51">
        <v>31</v>
      </c>
      <c r="V16" s="51">
        <f t="shared" si="3"/>
        <v>71</v>
      </c>
      <c r="W16" s="51">
        <v>3</v>
      </c>
      <c r="X16" s="51" t="str">
        <f>LOOKUP(V16,{0,40,45,50,55,60,65,70,75,80,100},{"F","C-","C","C+","B-","B","B+","A-","A","A+","Invalid Entry"})</f>
        <v>A-</v>
      </c>
      <c r="Y16" s="51">
        <f>LOOKUP(V16,{0,40,45,50,55,60,65,70,75,80,100},{0,2,2.25,2.5,2.75,3,3.25,3.5,3.75,4,"Invalid Entry"})</f>
        <v>3.5</v>
      </c>
      <c r="Z16" s="39"/>
      <c r="AA16" s="51">
        <v>12</v>
      </c>
      <c r="AB16" s="51">
        <v>50</v>
      </c>
      <c r="AC16" s="51">
        <v>31</v>
      </c>
      <c r="AD16" s="51">
        <f t="shared" si="4"/>
        <v>72</v>
      </c>
      <c r="AE16" s="51">
        <v>2</v>
      </c>
      <c r="AF16" s="51" t="str">
        <f>LOOKUP(AD16,{0,40,45,50,55,60,65,70,75,80,100},{"F","C-","C","C+","B-","B","B+","A-","A","A+","Invalid Entry"})</f>
        <v>A-</v>
      </c>
      <c r="AG16" s="51">
        <f>LOOKUP(AD16,{0,40,45,50,55,60,65,70,75,80,100},{0,2,2.25,2.5,2.75,3,3.25,3.5,3.75,4,"Invalid Entry"})</f>
        <v>3.5</v>
      </c>
      <c r="AH16" s="42"/>
      <c r="AI16" s="51">
        <f t="shared" si="0"/>
        <v>12</v>
      </c>
      <c r="AJ16" s="51">
        <f t="shared" si="5"/>
        <v>3.52</v>
      </c>
      <c r="AK16" s="51" t="str">
        <f>LOOKUP(AJ16,{0,2,2.25,2.5,2.75,3,3.25,3.5,3.75,4},{"F","C-","C","C+","B-","B","B+","A-","A","A+"})</f>
        <v>A-</v>
      </c>
    </row>
    <row r="17" spans="1:37">
      <c r="A17" s="51">
        <v>15</v>
      </c>
      <c r="B17" s="51">
        <v>2011236015</v>
      </c>
      <c r="C17" s="51">
        <v>16</v>
      </c>
      <c r="D17" s="51">
        <v>62</v>
      </c>
      <c r="E17" s="51">
        <v>29</v>
      </c>
      <c r="F17" s="51">
        <f t="shared" si="1"/>
        <v>87</v>
      </c>
      <c r="G17" s="51">
        <v>3</v>
      </c>
      <c r="H17" s="51" t="str">
        <f>LOOKUP(F17,{0,40,45,50,55,60,65,70,75,80,100},{"F","C-","C","C+","B-","B","B+","A-","A","A+","Invalid Entry"})</f>
        <v>A+</v>
      </c>
      <c r="I17" s="51">
        <f>LOOKUP(F17,{0,40,45,50,55,60,65,70,75,80,100},{0,2,2.25,2.5,2.75,3,3.25,3.5,3.75,4,"Invalid Entry"})</f>
        <v>4</v>
      </c>
      <c r="J17" s="39"/>
      <c r="K17" s="51">
        <v>17</v>
      </c>
      <c r="L17" s="51">
        <v>62</v>
      </c>
      <c r="M17" s="51">
        <v>29</v>
      </c>
      <c r="N17" s="51">
        <f t="shared" si="2"/>
        <v>88</v>
      </c>
      <c r="O17" s="51">
        <v>4</v>
      </c>
      <c r="P17" s="51" t="str">
        <f>LOOKUP(N17,{0,40,45,50,55,60,65,70,75,80,100},{"F","C-","C","C+","B-","B","B+","A-","A","A+","Invalid Entry"})</f>
        <v>A+</v>
      </c>
      <c r="Q17" s="51">
        <f>LOOKUP(N17,{0,40,45,50,55,60,65,70,75,80,100},{0,2,2.25,2.5,2.75,3,3.25,3.5,3.75,4,"Invalid Entry"})</f>
        <v>4</v>
      </c>
      <c r="R17" s="39"/>
      <c r="S17" s="51">
        <v>20</v>
      </c>
      <c r="T17" s="51">
        <v>62</v>
      </c>
      <c r="U17" s="51">
        <v>29</v>
      </c>
      <c r="V17" s="51">
        <f t="shared" si="3"/>
        <v>91</v>
      </c>
      <c r="W17" s="51">
        <v>3</v>
      </c>
      <c r="X17" s="51" t="str">
        <f>LOOKUP(V17,{0,40,45,50,55,60,65,70,75,80,100},{"F","C-","C","C+","B-","B","B+","A-","A","A+","Invalid Entry"})</f>
        <v>A+</v>
      </c>
      <c r="Y17" s="51">
        <f>LOOKUP(V17,{0,40,45,50,55,60,65,70,75,80,100},{0,2,2.25,2.5,2.75,3,3.25,3.5,3.75,4,"Invalid Entry"})</f>
        <v>4</v>
      </c>
      <c r="Z17" s="39"/>
      <c r="AA17" s="51">
        <v>13</v>
      </c>
      <c r="AB17" s="51">
        <v>62</v>
      </c>
      <c r="AC17" s="51">
        <v>29</v>
      </c>
      <c r="AD17" s="51">
        <f t="shared" si="4"/>
        <v>84</v>
      </c>
      <c r="AE17" s="51">
        <v>2</v>
      </c>
      <c r="AF17" s="51" t="str">
        <f>LOOKUP(AD17,{0,40,45,50,55,60,65,70,75,80,100},{"F","C-","C","C+","B-","B","B+","A-","A","A+","Invalid Entry"})</f>
        <v>A+</v>
      </c>
      <c r="AG17" s="51">
        <f>LOOKUP(AD17,{0,40,45,50,55,60,65,70,75,80,100},{0,2,2.25,2.5,2.75,3,3.25,3.5,3.75,4,"Invalid Entry"})</f>
        <v>4</v>
      </c>
      <c r="AH17" s="42"/>
      <c r="AI17" s="51">
        <f t="shared" si="0"/>
        <v>12</v>
      </c>
      <c r="AJ17" s="51">
        <f t="shared" si="5"/>
        <v>4</v>
      </c>
      <c r="AK17" s="51" t="str">
        <f>LOOKUP(AJ17,{0,2,2.25,2.5,2.75,3,3.25,3.5,3.75,4},{"F","C-","C","C+","B-","B","B+","A-","A","A+"})</f>
        <v>A+</v>
      </c>
    </row>
    <row r="18" spans="1:37">
      <c r="A18" s="51">
        <v>16</v>
      </c>
      <c r="B18" s="51">
        <v>2011236016</v>
      </c>
      <c r="C18" s="51">
        <v>14</v>
      </c>
      <c r="D18" s="51">
        <v>45</v>
      </c>
      <c r="E18" s="51">
        <v>33</v>
      </c>
      <c r="F18" s="51">
        <f t="shared" si="1"/>
        <v>69</v>
      </c>
      <c r="G18" s="51">
        <v>3</v>
      </c>
      <c r="H18" s="51" t="str">
        <f>LOOKUP(F18,{0,40,45,50,55,60,65,70,75,80,100},{"F","C-","C","C+","B-","B","B+","A-","A","A+","Invalid Entry"})</f>
        <v>B+</v>
      </c>
      <c r="I18" s="51">
        <f>LOOKUP(F18,{0,40,45,50,55,60,65,70,75,80,100},{0,2,2.25,2.5,2.75,3,3.25,3.5,3.75,4,"Invalid Entry"})</f>
        <v>3.25</v>
      </c>
      <c r="J18" s="39"/>
      <c r="K18" s="51">
        <v>16</v>
      </c>
      <c r="L18" s="51">
        <v>45</v>
      </c>
      <c r="M18" s="51">
        <v>33</v>
      </c>
      <c r="N18" s="51">
        <f t="shared" si="2"/>
        <v>71</v>
      </c>
      <c r="O18" s="51">
        <v>4</v>
      </c>
      <c r="P18" s="51" t="str">
        <f>LOOKUP(N18,{0,40,45,50,55,60,65,70,75,80,100},{"F","C-","C","C+","B-","B","B+","A-","A","A+","Invalid Entry"})</f>
        <v>A-</v>
      </c>
      <c r="Q18" s="51">
        <f>LOOKUP(N18,{0,40,45,50,55,60,65,70,75,80,100},{0,2,2.25,2.5,2.75,3,3.25,3.5,3.75,4,"Invalid Entry"})</f>
        <v>3.5</v>
      </c>
      <c r="R18" s="39"/>
      <c r="S18" s="51">
        <v>14</v>
      </c>
      <c r="T18" s="51">
        <v>45</v>
      </c>
      <c r="U18" s="51">
        <v>33</v>
      </c>
      <c r="V18" s="51">
        <f t="shared" si="3"/>
        <v>69</v>
      </c>
      <c r="W18" s="51">
        <v>3</v>
      </c>
      <c r="X18" s="51" t="str">
        <f>LOOKUP(V18,{0,40,45,50,55,60,65,70,75,80,100},{"F","C-","C","C+","B-","B","B+","A-","A","A+","Invalid Entry"})</f>
        <v>B+</v>
      </c>
      <c r="Y18" s="51">
        <f>LOOKUP(V18,{0,40,45,50,55,60,65,70,75,80,100},{0,2,2.25,2.5,2.75,3,3.25,3.5,3.75,4,"Invalid Entry"})</f>
        <v>3.25</v>
      </c>
      <c r="Z18" s="39"/>
      <c r="AA18" s="51">
        <v>16</v>
      </c>
      <c r="AB18" s="51">
        <v>45</v>
      </c>
      <c r="AC18" s="51">
        <v>33</v>
      </c>
      <c r="AD18" s="51">
        <f t="shared" si="4"/>
        <v>71</v>
      </c>
      <c r="AE18" s="51">
        <v>2</v>
      </c>
      <c r="AF18" s="51" t="str">
        <f>LOOKUP(AD18,{0,40,45,50,55,60,65,70,75,80,100},{"F","C-","C","C+","B-","B","B+","A-","A","A+","Invalid Entry"})</f>
        <v>A-</v>
      </c>
      <c r="AG18" s="51">
        <f>LOOKUP(AD18,{0,40,45,50,55,60,65,70,75,80,100},{0,2,2.25,2.5,2.75,3,3.25,3.5,3.75,4,"Invalid Entry"})</f>
        <v>3.5</v>
      </c>
      <c r="AH18" s="42"/>
      <c r="AI18" s="51">
        <f t="shared" si="0"/>
        <v>12</v>
      </c>
      <c r="AJ18" s="51">
        <f t="shared" si="5"/>
        <v>3.38</v>
      </c>
      <c r="AK18" s="51" t="str">
        <f>LOOKUP(AJ18,{0,2,2.25,2.5,2.75,3,3.25,3.5,3.75,4},{"F","C-","C","C+","B-","B","B+","A-","A","A+"})</f>
        <v>B+</v>
      </c>
    </row>
    <row r="19" spans="1:37">
      <c r="A19" s="51">
        <v>17</v>
      </c>
      <c r="B19" s="51">
        <v>2011236017</v>
      </c>
      <c r="C19" s="51">
        <v>19</v>
      </c>
      <c r="D19" s="51">
        <v>65</v>
      </c>
      <c r="E19" s="51">
        <v>28</v>
      </c>
      <c r="F19" s="51">
        <f t="shared" si="1"/>
        <v>93</v>
      </c>
      <c r="G19" s="51">
        <v>3</v>
      </c>
      <c r="H19" s="51" t="str">
        <f>LOOKUP(F19,{0,40,45,50,55,60,65,70,75,80,100},{"F","C-","C","C+","B-","B","B+","A-","A","A+","Invalid Entry"})</f>
        <v>A+</v>
      </c>
      <c r="I19" s="51">
        <f>LOOKUP(F19,{0,40,45,50,55,60,65,70,75,80,100},{0,2,2.25,2.5,2.75,3,3.25,3.5,3.75,4,"Invalid Entry"})</f>
        <v>4</v>
      </c>
      <c r="J19" s="39"/>
      <c r="K19" s="51">
        <v>12</v>
      </c>
      <c r="L19" s="51">
        <v>65</v>
      </c>
      <c r="M19" s="51">
        <v>28</v>
      </c>
      <c r="N19" s="51">
        <f t="shared" si="2"/>
        <v>86</v>
      </c>
      <c r="O19" s="51">
        <v>4</v>
      </c>
      <c r="P19" s="51" t="str">
        <f>LOOKUP(N19,{0,40,45,50,55,60,65,70,75,80,100},{"F","C-","C","C+","B-","B","B+","A-","A","A+","Invalid Entry"})</f>
        <v>A+</v>
      </c>
      <c r="Q19" s="51">
        <f>LOOKUP(N19,{0,40,45,50,55,60,65,70,75,80,100},{0,2,2.25,2.5,2.75,3,3.25,3.5,3.75,4,"Invalid Entry"})</f>
        <v>4</v>
      </c>
      <c r="R19" s="39"/>
      <c r="S19" s="51">
        <v>12</v>
      </c>
      <c r="T19" s="51">
        <v>65</v>
      </c>
      <c r="U19" s="51">
        <v>28</v>
      </c>
      <c r="V19" s="51">
        <f t="shared" si="3"/>
        <v>86</v>
      </c>
      <c r="W19" s="51">
        <v>3</v>
      </c>
      <c r="X19" s="51" t="str">
        <f>LOOKUP(V19,{0,40,45,50,55,60,65,70,75,80,100},{"F","C-","C","C+","B-","B","B+","A-","A","A+","Invalid Entry"})</f>
        <v>A+</v>
      </c>
      <c r="Y19" s="51">
        <f>LOOKUP(V19,{0,40,45,50,55,60,65,70,75,80,100},{0,2,2.25,2.5,2.75,3,3.25,3.5,3.75,4,"Invalid Entry"})</f>
        <v>4</v>
      </c>
      <c r="Z19" s="39"/>
      <c r="AA19" s="51">
        <v>5</v>
      </c>
      <c r="AB19" s="51">
        <v>65</v>
      </c>
      <c r="AC19" s="51">
        <v>28</v>
      </c>
      <c r="AD19" s="51">
        <f t="shared" si="4"/>
        <v>79</v>
      </c>
      <c r="AE19" s="51">
        <v>2</v>
      </c>
      <c r="AF19" s="51" t="str">
        <f>LOOKUP(AD19,{0,40,45,50,55,60,65,70,75,80,100},{"F","C-","C","C+","B-","B","B+","A-","A","A+","Invalid Entry"})</f>
        <v>A</v>
      </c>
      <c r="AG19" s="51">
        <f>LOOKUP(AD19,{0,40,45,50,55,60,65,70,75,80,100},{0,2,2.25,2.5,2.75,3,3.25,3.5,3.75,4,"Invalid Entry"})</f>
        <v>3.75</v>
      </c>
      <c r="AH19" s="42"/>
      <c r="AI19" s="51">
        <f t="shared" si="0"/>
        <v>12</v>
      </c>
      <c r="AJ19" s="51">
        <f t="shared" si="5"/>
        <v>3.96</v>
      </c>
      <c r="AK19" s="51" t="str">
        <f>LOOKUP(AJ19,{0,2,2.25,2.5,2.75,3,3.25,3.5,3.75,4},{"F","C-","C","C+","B-","B","B+","A-","A","A+"})</f>
        <v>A</v>
      </c>
    </row>
    <row r="20" spans="1:37">
      <c r="A20" s="51">
        <v>18</v>
      </c>
      <c r="B20" s="51">
        <v>2011236018</v>
      </c>
      <c r="C20" s="51">
        <v>10</v>
      </c>
      <c r="D20" s="51">
        <v>58</v>
      </c>
      <c r="E20" s="51">
        <v>29</v>
      </c>
      <c r="F20" s="51">
        <f t="shared" si="1"/>
        <v>77</v>
      </c>
      <c r="G20" s="51">
        <v>3</v>
      </c>
      <c r="H20" s="51" t="str">
        <f>LOOKUP(F20,{0,40,45,50,55,60,65,70,75,80,100},{"F","C-","C","C+","B-","B","B+","A-","A","A+","Invalid Entry"})</f>
        <v>A</v>
      </c>
      <c r="I20" s="51">
        <f>LOOKUP(F20,{0,40,45,50,55,60,65,70,75,80,100},{0,2,2.25,2.5,2.75,3,3.25,3.5,3.75,4,"Invalid Entry"})</f>
        <v>3.75</v>
      </c>
      <c r="J20" s="39"/>
      <c r="K20" s="51">
        <v>12</v>
      </c>
      <c r="L20" s="51">
        <v>58</v>
      </c>
      <c r="M20" s="51">
        <v>29</v>
      </c>
      <c r="N20" s="51">
        <f t="shared" si="2"/>
        <v>79</v>
      </c>
      <c r="O20" s="51">
        <v>4</v>
      </c>
      <c r="P20" s="51" t="str">
        <f>LOOKUP(N20,{0,40,45,50,55,60,65,70,75,80,100},{"F","C-","C","C+","B-","B","B+","A-","A","A+","Invalid Entry"})</f>
        <v>A</v>
      </c>
      <c r="Q20" s="51">
        <f>LOOKUP(N20,{0,40,45,50,55,60,65,70,75,80,100},{0,2,2.25,2.5,2.75,3,3.25,3.5,3.75,4,"Invalid Entry"})</f>
        <v>3.75</v>
      </c>
      <c r="R20" s="39"/>
      <c r="S20" s="51">
        <v>14</v>
      </c>
      <c r="T20" s="51">
        <v>58</v>
      </c>
      <c r="U20" s="51">
        <v>29</v>
      </c>
      <c r="V20" s="51">
        <f t="shared" si="3"/>
        <v>81</v>
      </c>
      <c r="W20" s="51">
        <v>3</v>
      </c>
      <c r="X20" s="51" t="str">
        <f>LOOKUP(V20,{0,40,45,50,55,60,65,70,75,80,100},{"F","C-","C","C+","B-","B","B+","A-","A","A+","Invalid Entry"})</f>
        <v>A+</v>
      </c>
      <c r="Y20" s="51">
        <f>LOOKUP(V20,{0,40,45,50,55,60,65,70,75,80,100},{0,2,2.25,2.5,2.75,3,3.25,3.5,3.75,4,"Invalid Entry"})</f>
        <v>4</v>
      </c>
      <c r="Z20" s="39"/>
      <c r="AA20" s="51">
        <v>11</v>
      </c>
      <c r="AB20" s="51">
        <v>58</v>
      </c>
      <c r="AC20" s="51">
        <v>29</v>
      </c>
      <c r="AD20" s="51">
        <f t="shared" si="4"/>
        <v>78</v>
      </c>
      <c r="AE20" s="51">
        <v>2</v>
      </c>
      <c r="AF20" s="51" t="str">
        <f>LOOKUP(AD20,{0,40,45,50,55,60,65,70,75,80,100},{"F","C-","C","C+","B-","B","B+","A-","A","A+","Invalid Entry"})</f>
        <v>A</v>
      </c>
      <c r="AG20" s="51">
        <f>LOOKUP(AD20,{0,40,45,50,55,60,65,70,75,80,100},{0,2,2.25,2.5,2.75,3,3.25,3.5,3.75,4,"Invalid Entry"})</f>
        <v>3.75</v>
      </c>
      <c r="AH20" s="42"/>
      <c r="AI20" s="51">
        <f t="shared" si="0"/>
        <v>12</v>
      </c>
      <c r="AJ20" s="51">
        <f t="shared" si="5"/>
        <v>3.81</v>
      </c>
      <c r="AK20" s="51" t="str">
        <f>LOOKUP(AJ20,{0,2,2.25,2.5,2.75,3,3.25,3.5,3.75,4},{"F","C-","C","C+","B-","B","B+","A-","A","A+"})</f>
        <v>A</v>
      </c>
    </row>
    <row r="21" spans="1:37">
      <c r="A21" s="51">
        <v>19</v>
      </c>
      <c r="B21" s="51">
        <v>2011236019</v>
      </c>
      <c r="C21" s="51">
        <v>6</v>
      </c>
      <c r="D21" s="51">
        <v>65</v>
      </c>
      <c r="E21" s="51">
        <v>25</v>
      </c>
      <c r="F21" s="51">
        <f t="shared" si="1"/>
        <v>79</v>
      </c>
      <c r="G21" s="51">
        <v>3</v>
      </c>
      <c r="H21" s="51" t="str">
        <f>LOOKUP(F21,{0,40,45,50,55,60,65,70,75,80,100},{"F","C-","C","C+","B-","B","B+","A-","A","A+","Invalid Entry"})</f>
        <v>A</v>
      </c>
      <c r="I21" s="51">
        <f>LOOKUP(F21,{0,40,45,50,55,60,65,70,75,80,100},{0,2,2.25,2.5,2.75,3,3.25,3.5,3.75,4,"Invalid Entry"})</f>
        <v>3.75</v>
      </c>
      <c r="J21" s="39"/>
      <c r="K21" s="51">
        <v>14</v>
      </c>
      <c r="L21" s="51">
        <v>65</v>
      </c>
      <c r="M21" s="51">
        <v>25</v>
      </c>
      <c r="N21" s="51">
        <f t="shared" si="2"/>
        <v>87</v>
      </c>
      <c r="O21" s="51">
        <v>4</v>
      </c>
      <c r="P21" s="51" t="str">
        <f>LOOKUP(N21,{0,40,45,50,55,60,65,70,75,80,100},{"F","C-","C","C+","B-","B","B+","A-","A","A+","Invalid Entry"})</f>
        <v>A+</v>
      </c>
      <c r="Q21" s="51">
        <f>LOOKUP(N21,{0,40,45,50,55,60,65,70,75,80,100},{0,2,2.25,2.5,2.75,3,3.25,3.5,3.75,4,"Invalid Entry"})</f>
        <v>4</v>
      </c>
      <c r="R21" s="39"/>
      <c r="S21" s="51">
        <v>19</v>
      </c>
      <c r="T21" s="51">
        <v>65</v>
      </c>
      <c r="U21" s="51">
        <v>25</v>
      </c>
      <c r="V21" s="51">
        <f t="shared" si="3"/>
        <v>92</v>
      </c>
      <c r="W21" s="51">
        <v>3</v>
      </c>
      <c r="X21" s="51" t="str">
        <f>LOOKUP(V21,{0,40,45,50,55,60,65,70,75,80,100},{"F","C-","C","C+","B-","B","B+","A-","A","A+","Invalid Entry"})</f>
        <v>A+</v>
      </c>
      <c r="Y21" s="51">
        <f>LOOKUP(V21,{0,40,45,50,55,60,65,70,75,80,100},{0,2,2.25,2.5,2.75,3,3.25,3.5,3.75,4,"Invalid Entry"})</f>
        <v>4</v>
      </c>
      <c r="Z21" s="39"/>
      <c r="AA21" s="51">
        <v>17</v>
      </c>
      <c r="AB21" s="51">
        <v>65</v>
      </c>
      <c r="AC21" s="51">
        <v>25</v>
      </c>
      <c r="AD21" s="51">
        <f t="shared" si="4"/>
        <v>90</v>
      </c>
      <c r="AE21" s="51">
        <v>2</v>
      </c>
      <c r="AF21" s="51" t="str">
        <f>LOOKUP(AD21,{0,40,45,50,55,60,65,70,75,80,100},{"F","C-","C","C+","B-","B","B+","A-","A","A+","Invalid Entry"})</f>
        <v>A+</v>
      </c>
      <c r="AG21" s="51">
        <f>LOOKUP(AD21,{0,40,45,50,55,60,65,70,75,80,100},{0,2,2.25,2.5,2.75,3,3.25,3.5,3.75,4,"Invalid Entry"})</f>
        <v>4</v>
      </c>
      <c r="AH21" s="42"/>
      <c r="AI21" s="51">
        <f t="shared" si="0"/>
        <v>12</v>
      </c>
      <c r="AJ21" s="51">
        <f t="shared" si="5"/>
        <v>3.94</v>
      </c>
      <c r="AK21" s="51" t="str">
        <f>LOOKUP(AJ21,{0,2,2.25,2.5,2.75,3,3.25,3.5,3.75,4},{"F","C-","C","C+","B-","B","B+","A-","A","A+"})</f>
        <v>A</v>
      </c>
    </row>
    <row r="22" spans="1:37">
      <c r="A22" s="51">
        <v>20</v>
      </c>
      <c r="B22" s="51">
        <v>2011236020</v>
      </c>
      <c r="C22" s="51">
        <v>17</v>
      </c>
      <c r="D22" s="51">
        <v>54</v>
      </c>
      <c r="E22" s="51">
        <v>27</v>
      </c>
      <c r="F22" s="51">
        <f t="shared" si="1"/>
        <v>80</v>
      </c>
      <c r="G22" s="51">
        <v>3</v>
      </c>
      <c r="H22" s="51" t="str">
        <f>LOOKUP(F22,{0,40,45,50,55,60,65,70,75,80,100},{"F","C-","C","C+","B-","B","B+","A-","A","A+","Invalid Entry"})</f>
        <v>A+</v>
      </c>
      <c r="I22" s="51">
        <f>LOOKUP(F22,{0,40,45,50,55,60,65,70,75,80,100},{0,2,2.25,2.5,2.75,3,3.25,3.5,3.75,4,"Invalid Entry"})</f>
        <v>4</v>
      </c>
      <c r="J22" s="39"/>
      <c r="K22" s="51">
        <v>15</v>
      </c>
      <c r="L22" s="51">
        <v>54</v>
      </c>
      <c r="M22" s="51">
        <v>27</v>
      </c>
      <c r="N22" s="51">
        <f t="shared" si="2"/>
        <v>78</v>
      </c>
      <c r="O22" s="51">
        <v>4</v>
      </c>
      <c r="P22" s="51" t="str">
        <f>LOOKUP(N22,{0,40,45,50,55,60,65,70,75,80,100},{"F","C-","C","C+","B-","B","B+","A-","A","A+","Invalid Entry"})</f>
        <v>A</v>
      </c>
      <c r="Q22" s="51">
        <f>LOOKUP(N22,{0,40,45,50,55,60,65,70,75,80,100},{0,2,2.25,2.5,2.75,3,3.25,3.5,3.75,4,"Invalid Entry"})</f>
        <v>3.75</v>
      </c>
      <c r="R22" s="39"/>
      <c r="S22" s="51">
        <v>17</v>
      </c>
      <c r="T22" s="51">
        <v>54</v>
      </c>
      <c r="U22" s="51">
        <v>27</v>
      </c>
      <c r="V22" s="51">
        <f t="shared" si="3"/>
        <v>80</v>
      </c>
      <c r="W22" s="51">
        <v>3</v>
      </c>
      <c r="X22" s="51" t="str">
        <f>LOOKUP(V22,{0,40,45,50,55,60,65,70,75,80,100},{"F","C-","C","C+","B-","B","B+","A-","A","A+","Invalid Entry"})</f>
        <v>A+</v>
      </c>
      <c r="Y22" s="51">
        <f>LOOKUP(V22,{0,40,45,50,55,60,65,70,75,80,100},{0,2,2.25,2.5,2.75,3,3.25,3.5,3.75,4,"Invalid Entry"})</f>
        <v>4</v>
      </c>
      <c r="Z22" s="39"/>
      <c r="AA22" s="51">
        <v>8</v>
      </c>
      <c r="AB22" s="51">
        <v>54</v>
      </c>
      <c r="AC22" s="51">
        <v>27</v>
      </c>
      <c r="AD22" s="51">
        <f t="shared" si="4"/>
        <v>71</v>
      </c>
      <c r="AE22" s="51">
        <v>2</v>
      </c>
      <c r="AF22" s="51" t="str">
        <f>LOOKUP(AD22,{0,40,45,50,55,60,65,70,75,80,100},{"F","C-","C","C+","B-","B","B+","A-","A","A+","Invalid Entry"})</f>
        <v>A-</v>
      </c>
      <c r="AG22" s="51">
        <f>LOOKUP(AD22,{0,40,45,50,55,60,65,70,75,80,100},{0,2,2.25,2.5,2.75,3,3.25,3.5,3.75,4,"Invalid Entry"})</f>
        <v>3.5</v>
      </c>
      <c r="AH22" s="42"/>
      <c r="AI22" s="51">
        <f t="shared" si="0"/>
        <v>12</v>
      </c>
      <c r="AJ22" s="51">
        <f t="shared" si="5"/>
        <v>3.83</v>
      </c>
      <c r="AK22" s="51" t="str">
        <f>LOOKUP(AJ22,{0,2,2.25,2.5,2.75,3,3.25,3.5,3.75,4},{"F","C-","C","C+","B-","B","B+","A-","A","A+"})</f>
        <v>A</v>
      </c>
    </row>
    <row r="23" spans="1:37">
      <c r="A23" s="51">
        <v>21</v>
      </c>
      <c r="B23" s="51">
        <v>2011236021</v>
      </c>
      <c r="C23" s="51">
        <v>13</v>
      </c>
      <c r="D23" s="51">
        <v>50</v>
      </c>
      <c r="E23" s="51">
        <v>21</v>
      </c>
      <c r="F23" s="51">
        <f t="shared" si="1"/>
        <v>70</v>
      </c>
      <c r="G23" s="51">
        <v>3</v>
      </c>
      <c r="H23" s="51" t="str">
        <f>LOOKUP(F23,{0,40,45,50,55,60,65,70,75,80,100},{"F","C-","C","C+","B-","B","B+","A-","A","A+","Invalid Entry"})</f>
        <v>A-</v>
      </c>
      <c r="I23" s="51">
        <f>LOOKUP(F23,{0,40,45,50,55,60,65,70,75,80,100},{0,2,2.25,2.5,2.75,3,3.25,3.5,3.75,4,"Invalid Entry"})</f>
        <v>3.5</v>
      </c>
      <c r="J23" s="39"/>
      <c r="K23" s="51">
        <v>10</v>
      </c>
      <c r="L23" s="51">
        <v>50</v>
      </c>
      <c r="M23" s="51">
        <v>21</v>
      </c>
      <c r="N23" s="51">
        <f t="shared" si="2"/>
        <v>67</v>
      </c>
      <c r="O23" s="51">
        <v>4</v>
      </c>
      <c r="P23" s="51" t="str">
        <f>LOOKUP(N23,{0,40,45,50,55,60,65,70,75,80,100},{"F","C-","C","C+","B-","B","B+","A-","A","A+","Invalid Entry"})</f>
        <v>B+</v>
      </c>
      <c r="Q23" s="51">
        <f>LOOKUP(N23,{0,40,45,50,55,60,65,70,75,80,100},{0,2,2.25,2.5,2.75,3,3.25,3.5,3.75,4,"Invalid Entry"})</f>
        <v>3.25</v>
      </c>
      <c r="R23" s="39"/>
      <c r="S23" s="51">
        <v>13</v>
      </c>
      <c r="T23" s="51">
        <v>50</v>
      </c>
      <c r="U23" s="51">
        <v>21</v>
      </c>
      <c r="V23" s="51">
        <f t="shared" si="3"/>
        <v>70</v>
      </c>
      <c r="W23" s="51">
        <v>3</v>
      </c>
      <c r="X23" s="51" t="str">
        <f>LOOKUP(V23,{0,40,45,50,55,60,65,70,75,80,100},{"F","C-","C","C+","B-","B","B+","A-","A","A+","Invalid Entry"})</f>
        <v>A-</v>
      </c>
      <c r="Y23" s="51">
        <f>LOOKUP(V23,{0,40,45,50,55,60,65,70,75,80,100},{0,2,2.25,2.5,2.75,3,3.25,3.5,3.75,4,"Invalid Entry"})</f>
        <v>3.5</v>
      </c>
      <c r="Z23" s="39"/>
      <c r="AA23" s="51">
        <v>19</v>
      </c>
      <c r="AB23" s="51">
        <v>50</v>
      </c>
      <c r="AC23" s="51">
        <v>21</v>
      </c>
      <c r="AD23" s="51">
        <f t="shared" si="4"/>
        <v>76</v>
      </c>
      <c r="AE23" s="51">
        <v>2</v>
      </c>
      <c r="AF23" s="51" t="str">
        <f>LOOKUP(AD23,{0,40,45,50,55,60,65,70,75,80,100},{"F","C-","C","C+","B-","B","B+","A-","A","A+","Invalid Entry"})</f>
        <v>A</v>
      </c>
      <c r="AG23" s="51">
        <f>LOOKUP(AD23,{0,40,45,50,55,60,65,70,75,80,100},{0,2,2.25,2.5,2.75,3,3.25,3.5,3.75,4,"Invalid Entry"})</f>
        <v>3.75</v>
      </c>
      <c r="AH23" s="42"/>
      <c r="AI23" s="51">
        <f t="shared" si="0"/>
        <v>12</v>
      </c>
      <c r="AJ23" s="51">
        <f t="shared" si="5"/>
        <v>3.46</v>
      </c>
      <c r="AK23" s="51" t="str">
        <f>LOOKUP(AJ23,{0,2,2.25,2.5,2.75,3,3.25,3.5,3.75,4},{"F","C-","C","C+","B-","B","B+","A-","A","A+"})</f>
        <v>B+</v>
      </c>
    </row>
    <row r="24" spans="1:37">
      <c r="A24" s="51">
        <v>22</v>
      </c>
      <c r="B24" s="51">
        <v>2011236022</v>
      </c>
      <c r="C24" s="51">
        <v>14</v>
      </c>
      <c r="D24" s="51">
        <v>63</v>
      </c>
      <c r="E24" s="51">
        <v>20</v>
      </c>
      <c r="F24" s="51">
        <f t="shared" si="1"/>
        <v>83</v>
      </c>
      <c r="G24" s="51">
        <v>3</v>
      </c>
      <c r="H24" s="51" t="str">
        <f>LOOKUP(F24,{0,40,45,50,55,60,65,70,75,80,100},{"F","C-","C","C+","B-","B","B+","A-","A","A+","Invalid Entry"})</f>
        <v>A+</v>
      </c>
      <c r="I24" s="51">
        <f>LOOKUP(F24,{0,40,45,50,55,60,65,70,75,80,100},{0,2,2.25,2.5,2.75,3,3.25,3.5,3.75,4,"Invalid Entry"})</f>
        <v>4</v>
      </c>
      <c r="J24" s="39"/>
      <c r="K24" s="51">
        <v>11</v>
      </c>
      <c r="L24" s="51">
        <v>63</v>
      </c>
      <c r="M24" s="51">
        <v>20</v>
      </c>
      <c r="N24" s="51">
        <f t="shared" si="2"/>
        <v>80</v>
      </c>
      <c r="O24" s="51">
        <v>4</v>
      </c>
      <c r="P24" s="51" t="str">
        <f>LOOKUP(N24,{0,40,45,50,55,60,65,70,75,80,100},{"F","C-","C","C+","B-","B","B+","A-","A","A+","Invalid Entry"})</f>
        <v>A+</v>
      </c>
      <c r="Q24" s="51">
        <f>LOOKUP(N24,{0,40,45,50,55,60,65,70,75,80,100},{0,2,2.25,2.5,2.75,3,3.25,3.5,3.75,4,"Invalid Entry"})</f>
        <v>4</v>
      </c>
      <c r="R24" s="39"/>
      <c r="S24" s="51">
        <v>11</v>
      </c>
      <c r="T24" s="51">
        <v>63</v>
      </c>
      <c r="U24" s="51">
        <v>20</v>
      </c>
      <c r="V24" s="51">
        <f t="shared" si="3"/>
        <v>80</v>
      </c>
      <c r="W24" s="51">
        <v>3</v>
      </c>
      <c r="X24" s="51" t="str">
        <f>LOOKUP(V24,{0,40,45,50,55,60,65,70,75,80,100},{"F","C-","C","C+","B-","B","B+","A-","A","A+","Invalid Entry"})</f>
        <v>A+</v>
      </c>
      <c r="Y24" s="51">
        <f>LOOKUP(V24,{0,40,45,50,55,60,65,70,75,80,100},{0,2,2.25,2.5,2.75,3,3.25,3.5,3.75,4,"Invalid Entry"})</f>
        <v>4</v>
      </c>
      <c r="Z24" s="39"/>
      <c r="AA24" s="51">
        <v>8</v>
      </c>
      <c r="AB24" s="51">
        <v>63</v>
      </c>
      <c r="AC24" s="51">
        <v>20</v>
      </c>
      <c r="AD24" s="51">
        <f t="shared" si="4"/>
        <v>77</v>
      </c>
      <c r="AE24" s="51">
        <v>2</v>
      </c>
      <c r="AF24" s="51" t="str">
        <f>LOOKUP(AD24,{0,40,45,50,55,60,65,70,75,80,100},{"F","C-","C","C+","B-","B","B+","A-","A","A+","Invalid Entry"})</f>
        <v>A</v>
      </c>
      <c r="AG24" s="51">
        <f>LOOKUP(AD24,{0,40,45,50,55,60,65,70,75,80,100},{0,2,2.25,2.5,2.75,3,3.25,3.5,3.75,4,"Invalid Entry"})</f>
        <v>3.75</v>
      </c>
      <c r="AH24" s="42"/>
      <c r="AI24" s="51">
        <f t="shared" si="0"/>
        <v>12</v>
      </c>
      <c r="AJ24" s="51">
        <f t="shared" si="5"/>
        <v>3.96</v>
      </c>
      <c r="AK24" s="51" t="str">
        <f>LOOKUP(AJ24,{0,2,2.25,2.5,2.75,3,3.25,3.5,3.75,4},{"F","C-","C","C+","B-","B","B+","A-","A","A+"})</f>
        <v>A</v>
      </c>
    </row>
    <row r="25" spans="1:37">
      <c r="A25" s="51">
        <v>23</v>
      </c>
      <c r="B25" s="51">
        <v>2011236023</v>
      </c>
      <c r="C25" s="51">
        <v>7</v>
      </c>
      <c r="D25" s="51">
        <v>49</v>
      </c>
      <c r="E25" s="51">
        <v>31</v>
      </c>
      <c r="F25" s="51">
        <f t="shared" si="1"/>
        <v>66</v>
      </c>
      <c r="G25" s="51">
        <v>3</v>
      </c>
      <c r="H25" s="51" t="str">
        <f>LOOKUP(F25,{0,40,45,50,55,60,65,70,75,80,100},{"F","C-","C","C+","B-","B","B+","A-","A","A+","Invalid Entry"})</f>
        <v>B+</v>
      </c>
      <c r="I25" s="51">
        <f>LOOKUP(F25,{0,40,45,50,55,60,65,70,75,80,100},{0,2,2.25,2.5,2.75,3,3.25,3.5,3.75,4,"Invalid Entry"})</f>
        <v>3.25</v>
      </c>
      <c r="J25" s="39"/>
      <c r="K25" s="51">
        <v>11</v>
      </c>
      <c r="L25" s="51">
        <v>49</v>
      </c>
      <c r="M25" s="51">
        <v>31</v>
      </c>
      <c r="N25" s="51">
        <f t="shared" si="2"/>
        <v>70</v>
      </c>
      <c r="O25" s="51">
        <v>4</v>
      </c>
      <c r="P25" s="51" t="str">
        <f>LOOKUP(N25,{0,40,45,50,55,60,65,70,75,80,100},{"F","C-","C","C+","B-","B","B+","A-","A","A+","Invalid Entry"})</f>
        <v>A-</v>
      </c>
      <c r="Q25" s="51">
        <f>LOOKUP(N25,{0,40,45,50,55,60,65,70,75,80,100},{0,2,2.25,2.5,2.75,3,3.25,3.5,3.75,4,"Invalid Entry"})</f>
        <v>3.5</v>
      </c>
      <c r="R25" s="39"/>
      <c r="S25" s="51">
        <v>20</v>
      </c>
      <c r="T25" s="51">
        <v>49</v>
      </c>
      <c r="U25" s="51">
        <v>31</v>
      </c>
      <c r="V25" s="51">
        <f t="shared" si="3"/>
        <v>79</v>
      </c>
      <c r="W25" s="51">
        <v>3</v>
      </c>
      <c r="X25" s="51" t="str">
        <f>LOOKUP(V25,{0,40,45,50,55,60,65,70,75,80,100},{"F","C-","C","C+","B-","B","B+","A-","A","A+","Invalid Entry"})</f>
        <v>A</v>
      </c>
      <c r="Y25" s="51">
        <f>LOOKUP(V25,{0,40,45,50,55,60,65,70,75,80,100},{0,2,2.25,2.5,2.75,3,3.25,3.5,3.75,4,"Invalid Entry"})</f>
        <v>3.75</v>
      </c>
      <c r="Z25" s="39"/>
      <c r="AA25" s="51">
        <v>10</v>
      </c>
      <c r="AB25" s="51">
        <v>49</v>
      </c>
      <c r="AC25" s="51">
        <v>31</v>
      </c>
      <c r="AD25" s="51">
        <f t="shared" si="4"/>
        <v>69</v>
      </c>
      <c r="AE25" s="51">
        <v>2</v>
      </c>
      <c r="AF25" s="51" t="str">
        <f>LOOKUP(AD25,{0,40,45,50,55,60,65,70,75,80,100},{"F","C-","C","C+","B-","B","B+","A-","A","A+","Invalid Entry"})</f>
        <v>B+</v>
      </c>
      <c r="AG25" s="51">
        <f>LOOKUP(AD25,{0,40,45,50,55,60,65,70,75,80,100},{0,2,2.25,2.5,2.75,3,3.25,3.5,3.75,4,"Invalid Entry"})</f>
        <v>3.25</v>
      </c>
      <c r="AH25" s="42"/>
      <c r="AI25" s="51">
        <f t="shared" si="0"/>
        <v>12</v>
      </c>
      <c r="AJ25" s="51">
        <f t="shared" si="5"/>
        <v>3.46</v>
      </c>
      <c r="AK25" s="51" t="str">
        <f>LOOKUP(AJ25,{0,2,2.25,2.5,2.75,3,3.25,3.5,3.75,4},{"F","C-","C","C+","B-","B","B+","A-","A","A+"})</f>
        <v>B+</v>
      </c>
    </row>
    <row r="26" spans="1:37">
      <c r="A26" s="51">
        <v>24</v>
      </c>
      <c r="B26" s="51">
        <v>2011236024</v>
      </c>
      <c r="C26" s="51">
        <v>18</v>
      </c>
      <c r="D26" s="51">
        <v>70</v>
      </c>
      <c r="E26" s="51">
        <v>27</v>
      </c>
      <c r="F26" s="51">
        <f t="shared" si="1"/>
        <v>97</v>
      </c>
      <c r="G26" s="51">
        <v>3</v>
      </c>
      <c r="H26" s="51" t="str">
        <f>LOOKUP(F26,{0,40,45,50,55,60,65,70,75,80,100},{"F","C-","C","C+","B-","B","B+","A-","A","A+","Invalid Entry"})</f>
        <v>A+</v>
      </c>
      <c r="I26" s="51">
        <f>LOOKUP(F26,{0,40,45,50,55,60,65,70,75,80,100},{0,2,2.25,2.5,2.75,3,3.25,3.5,3.75,4,"Invalid Entry"})</f>
        <v>4</v>
      </c>
      <c r="J26" s="39"/>
      <c r="K26" s="51">
        <v>14</v>
      </c>
      <c r="L26" s="51">
        <v>70</v>
      </c>
      <c r="M26" s="51">
        <v>27</v>
      </c>
      <c r="N26" s="51">
        <f t="shared" si="2"/>
        <v>93</v>
      </c>
      <c r="O26" s="51">
        <v>4</v>
      </c>
      <c r="P26" s="51" t="str">
        <f>LOOKUP(N26,{0,40,45,50,55,60,65,70,75,80,100},{"F","C-","C","C+","B-","B","B+","A-","A","A+","Invalid Entry"})</f>
        <v>A+</v>
      </c>
      <c r="Q26" s="51">
        <f>LOOKUP(N26,{0,40,45,50,55,60,65,70,75,80,100},{0,2,2.25,2.5,2.75,3,3.25,3.5,3.75,4,"Invalid Entry"})</f>
        <v>4</v>
      </c>
      <c r="R26" s="39"/>
      <c r="S26" s="51">
        <v>17</v>
      </c>
      <c r="T26" s="51">
        <v>70</v>
      </c>
      <c r="U26" s="51">
        <v>27</v>
      </c>
      <c r="V26" s="51">
        <f t="shared" si="3"/>
        <v>96</v>
      </c>
      <c r="W26" s="51">
        <v>3</v>
      </c>
      <c r="X26" s="51" t="str">
        <f>LOOKUP(V26,{0,40,45,50,55,60,65,70,75,80,100},{"F","C-","C","C+","B-","B","B+","A-","A","A+","Invalid Entry"})</f>
        <v>A+</v>
      </c>
      <c r="Y26" s="51">
        <f>LOOKUP(V26,{0,40,45,50,55,60,65,70,75,80,100},{0,2,2.25,2.5,2.75,3,3.25,3.5,3.75,4,"Invalid Entry"})</f>
        <v>4</v>
      </c>
      <c r="Z26" s="39"/>
      <c r="AA26" s="51">
        <v>19</v>
      </c>
      <c r="AB26" s="51">
        <v>70</v>
      </c>
      <c r="AC26" s="51">
        <v>27</v>
      </c>
      <c r="AD26" s="51">
        <f t="shared" si="4"/>
        <v>98</v>
      </c>
      <c r="AE26" s="51">
        <v>2</v>
      </c>
      <c r="AF26" s="51" t="str">
        <f>LOOKUP(AD26,{0,40,45,50,55,60,65,70,75,80,100},{"F","C-","C","C+","B-","B","B+","A-","A","A+","Invalid Entry"})</f>
        <v>A+</v>
      </c>
      <c r="AG26" s="51">
        <f>LOOKUP(AD26,{0,40,45,50,55,60,65,70,75,80,100},{0,2,2.25,2.5,2.75,3,3.25,3.5,3.75,4,"Invalid Entry"})</f>
        <v>4</v>
      </c>
      <c r="AH26" s="42"/>
      <c r="AI26" s="51">
        <f t="shared" si="0"/>
        <v>12</v>
      </c>
      <c r="AJ26" s="51">
        <f t="shared" si="5"/>
        <v>4</v>
      </c>
      <c r="AK26" s="51" t="str">
        <f>LOOKUP(AJ26,{0,2,2.25,2.5,2.75,3,3.25,3.5,3.75,4},{"F","C-","C","C+","B-","B","B+","A-","A","A+"})</f>
        <v>A+</v>
      </c>
    </row>
    <row r="27" spans="1:37">
      <c r="A27" s="51">
        <v>25</v>
      </c>
      <c r="B27" s="51">
        <v>2011236025</v>
      </c>
      <c r="C27" s="51">
        <v>12</v>
      </c>
      <c r="D27" s="51">
        <v>58</v>
      </c>
      <c r="E27" s="51">
        <v>22</v>
      </c>
      <c r="F27" s="51">
        <f t="shared" si="1"/>
        <v>77</v>
      </c>
      <c r="G27" s="51">
        <v>3</v>
      </c>
      <c r="H27" s="51" t="str">
        <f>LOOKUP(F27,{0,40,45,50,55,60,65,70,75,80,100},{"F","C-","C","C+","B-","B","B+","A-","A","A+","Invalid Entry"})</f>
        <v>A</v>
      </c>
      <c r="I27" s="51">
        <f>LOOKUP(F27,{0,40,45,50,55,60,65,70,75,80,100},{0,2,2.25,2.5,2.75,3,3.25,3.5,3.75,4,"Invalid Entry"})</f>
        <v>3.75</v>
      </c>
      <c r="J27" s="39"/>
      <c r="K27" s="51">
        <v>11</v>
      </c>
      <c r="L27" s="51">
        <v>58</v>
      </c>
      <c r="M27" s="51">
        <v>22</v>
      </c>
      <c r="N27" s="51">
        <f t="shared" si="2"/>
        <v>76</v>
      </c>
      <c r="O27" s="51">
        <v>4</v>
      </c>
      <c r="P27" s="51" t="str">
        <f>LOOKUP(N27,{0,40,45,50,55,60,65,70,75,80,100},{"F","C-","C","C+","B-","B","B+","A-","A","A+","Invalid Entry"})</f>
        <v>A</v>
      </c>
      <c r="Q27" s="51">
        <f>LOOKUP(N27,{0,40,45,50,55,60,65,70,75,80,100},{0,2,2.25,2.5,2.75,3,3.25,3.5,3.75,4,"Invalid Entry"})</f>
        <v>3.75</v>
      </c>
      <c r="R27" s="39"/>
      <c r="S27" s="51">
        <v>18</v>
      </c>
      <c r="T27" s="51">
        <v>58</v>
      </c>
      <c r="U27" s="51">
        <v>22</v>
      </c>
      <c r="V27" s="51">
        <f t="shared" si="3"/>
        <v>83</v>
      </c>
      <c r="W27" s="51">
        <v>3</v>
      </c>
      <c r="X27" s="51" t="str">
        <f>LOOKUP(V27,{0,40,45,50,55,60,65,70,75,80,100},{"F","C-","C","C+","B-","B","B+","A-","A","A+","Invalid Entry"})</f>
        <v>A+</v>
      </c>
      <c r="Y27" s="51">
        <f>LOOKUP(V27,{0,40,45,50,55,60,65,70,75,80,100},{0,2,2.25,2.5,2.75,3,3.25,3.5,3.75,4,"Invalid Entry"})</f>
        <v>4</v>
      </c>
      <c r="Z27" s="39"/>
      <c r="AA27" s="51">
        <v>17</v>
      </c>
      <c r="AB27" s="51">
        <v>58</v>
      </c>
      <c r="AC27" s="51">
        <v>22</v>
      </c>
      <c r="AD27" s="51">
        <f t="shared" si="4"/>
        <v>82</v>
      </c>
      <c r="AE27" s="51">
        <v>2</v>
      </c>
      <c r="AF27" s="51" t="str">
        <f>LOOKUP(AD27,{0,40,45,50,55,60,65,70,75,80,100},{"F","C-","C","C+","B-","B","B+","A-","A","A+","Invalid Entry"})</f>
        <v>A+</v>
      </c>
      <c r="AG27" s="51">
        <f>LOOKUP(AD27,{0,40,45,50,55,60,65,70,75,80,100},{0,2,2.25,2.5,2.75,3,3.25,3.5,3.75,4,"Invalid Entry"})</f>
        <v>4</v>
      </c>
      <c r="AH27" s="42"/>
      <c r="AI27" s="51">
        <f t="shared" si="0"/>
        <v>12</v>
      </c>
      <c r="AJ27" s="51">
        <f t="shared" si="5"/>
        <v>3.85</v>
      </c>
      <c r="AK27" s="51" t="str">
        <f>LOOKUP(AJ27,{0,2,2.25,2.5,2.75,3,3.25,3.5,3.75,4},{"F","C-","C","C+","B-","B","B+","A-","A","A+"})</f>
        <v>A</v>
      </c>
    </row>
    <row r="28" spans="1:37">
      <c r="A28" s="51">
        <v>26</v>
      </c>
      <c r="B28" s="51">
        <v>2011236026</v>
      </c>
      <c r="C28" s="51">
        <v>15</v>
      </c>
      <c r="D28" s="51">
        <v>48</v>
      </c>
      <c r="E28" s="51">
        <v>32</v>
      </c>
      <c r="F28" s="51">
        <f t="shared" si="1"/>
        <v>73</v>
      </c>
      <c r="G28" s="51">
        <v>3</v>
      </c>
      <c r="H28" s="51" t="str">
        <f>LOOKUP(F28,{0,40,45,50,55,60,65,70,75,80,100},{"F","C-","C","C+","B-","B","B+","A-","A","A+","Invalid Entry"})</f>
        <v>A-</v>
      </c>
      <c r="I28" s="51">
        <f>LOOKUP(F28,{0,40,45,50,55,60,65,70,75,80,100},{0,2,2.25,2.5,2.75,3,3.25,3.5,3.75,4,"Invalid Entry"})</f>
        <v>3.5</v>
      </c>
      <c r="J28" s="39"/>
      <c r="K28" s="51">
        <v>11</v>
      </c>
      <c r="L28" s="51">
        <v>48</v>
      </c>
      <c r="M28" s="51">
        <v>32</v>
      </c>
      <c r="N28" s="51">
        <f t="shared" si="2"/>
        <v>69</v>
      </c>
      <c r="O28" s="51">
        <v>4</v>
      </c>
      <c r="P28" s="51" t="str">
        <f>LOOKUP(N28,{0,40,45,50,55,60,65,70,75,80,100},{"F","C-","C","C+","B-","B","B+","A-","A","A+","Invalid Entry"})</f>
        <v>B+</v>
      </c>
      <c r="Q28" s="51">
        <f>LOOKUP(N28,{0,40,45,50,55,60,65,70,75,80,100},{0,2,2.25,2.5,2.75,3,3.25,3.5,3.75,4,"Invalid Entry"})</f>
        <v>3.25</v>
      </c>
      <c r="R28" s="39"/>
      <c r="S28" s="51">
        <v>20</v>
      </c>
      <c r="T28" s="51">
        <v>48</v>
      </c>
      <c r="U28" s="51">
        <v>32</v>
      </c>
      <c r="V28" s="51">
        <f t="shared" si="3"/>
        <v>78</v>
      </c>
      <c r="W28" s="51">
        <v>3</v>
      </c>
      <c r="X28" s="51" t="str">
        <f>LOOKUP(V28,{0,40,45,50,55,60,65,70,75,80,100},{"F","C-","C","C+","B-","B","B+","A-","A","A+","Invalid Entry"})</f>
        <v>A</v>
      </c>
      <c r="Y28" s="51">
        <f>LOOKUP(V28,{0,40,45,50,55,60,65,70,75,80,100},{0,2,2.25,2.5,2.75,3,3.25,3.5,3.75,4,"Invalid Entry"})</f>
        <v>3.75</v>
      </c>
      <c r="Z28" s="39"/>
      <c r="AA28" s="51">
        <v>11</v>
      </c>
      <c r="AB28" s="51">
        <v>48</v>
      </c>
      <c r="AC28" s="51">
        <v>32</v>
      </c>
      <c r="AD28" s="51">
        <f t="shared" si="4"/>
        <v>69</v>
      </c>
      <c r="AE28" s="51">
        <v>2</v>
      </c>
      <c r="AF28" s="51" t="str">
        <f>LOOKUP(AD28,{0,40,45,50,55,60,65,70,75,80,100},{"F","C-","C","C+","B-","B","B+","A-","A","A+","Invalid Entry"})</f>
        <v>B+</v>
      </c>
      <c r="AG28" s="51">
        <f>LOOKUP(AD28,{0,40,45,50,55,60,65,70,75,80,100},{0,2,2.25,2.5,2.75,3,3.25,3.5,3.75,4,"Invalid Entry"})</f>
        <v>3.25</v>
      </c>
      <c r="AH28" s="42"/>
      <c r="AI28" s="51">
        <f t="shared" si="0"/>
        <v>12</v>
      </c>
      <c r="AJ28" s="51">
        <f t="shared" si="5"/>
        <v>3.44</v>
      </c>
      <c r="AK28" s="51" t="str">
        <f>LOOKUP(AJ28,{0,2,2.25,2.5,2.75,3,3.25,3.5,3.75,4},{"F","C-","C","C+","B-","B","B+","A-","A","A+"})</f>
        <v>B+</v>
      </c>
    </row>
    <row r="29" spans="1:37">
      <c r="A29" s="51">
        <v>27</v>
      </c>
      <c r="B29" s="51">
        <v>2011236027</v>
      </c>
      <c r="C29" s="51">
        <v>19</v>
      </c>
      <c r="D29" s="51">
        <v>69</v>
      </c>
      <c r="E29" s="51">
        <v>25</v>
      </c>
      <c r="F29" s="51">
        <f t="shared" si="1"/>
        <v>96</v>
      </c>
      <c r="G29" s="51">
        <v>3</v>
      </c>
      <c r="H29" s="51" t="str">
        <f>LOOKUP(F29,{0,40,45,50,55,60,65,70,75,80,100},{"F","C-","C","C+","B-","B","B+","A-","A","A+","Invalid Entry"})</f>
        <v>A+</v>
      </c>
      <c r="I29" s="51">
        <f>LOOKUP(F29,{0,40,45,50,55,60,65,70,75,80,100},{0,2,2.25,2.5,2.75,3,3.25,3.5,3.75,4,"Invalid Entry"})</f>
        <v>4</v>
      </c>
      <c r="J29" s="39"/>
      <c r="K29" s="51">
        <v>16</v>
      </c>
      <c r="L29" s="51">
        <v>69</v>
      </c>
      <c r="M29" s="51">
        <v>25</v>
      </c>
      <c r="N29" s="51">
        <f t="shared" si="2"/>
        <v>93</v>
      </c>
      <c r="O29" s="51">
        <v>4</v>
      </c>
      <c r="P29" s="51" t="str">
        <f>LOOKUP(N29,{0,40,45,50,55,60,65,70,75,80,100},{"F","C-","C","C+","B-","B","B+","A-","A","A+","Invalid Entry"})</f>
        <v>A+</v>
      </c>
      <c r="Q29" s="51">
        <f>LOOKUP(N29,{0,40,45,50,55,60,65,70,75,80,100},{0,2,2.25,2.5,2.75,3,3.25,3.5,3.75,4,"Invalid Entry"})</f>
        <v>4</v>
      </c>
      <c r="R29" s="39"/>
      <c r="S29" s="51">
        <v>19</v>
      </c>
      <c r="T29" s="51">
        <v>69</v>
      </c>
      <c r="U29" s="51">
        <v>25</v>
      </c>
      <c r="V29" s="51">
        <f t="shared" si="3"/>
        <v>96</v>
      </c>
      <c r="W29" s="51">
        <v>3</v>
      </c>
      <c r="X29" s="51" t="str">
        <f>LOOKUP(V29,{0,40,45,50,55,60,65,70,75,80,100},{"F","C-","C","C+","B-","B","B+","A-","A","A+","Invalid Entry"})</f>
        <v>A+</v>
      </c>
      <c r="Y29" s="51">
        <f>LOOKUP(V29,{0,40,45,50,55,60,65,70,75,80,100},{0,2,2.25,2.5,2.75,3,3.25,3.5,3.75,4,"Invalid Entry"})</f>
        <v>4</v>
      </c>
      <c r="Z29" s="39"/>
      <c r="AA29" s="51">
        <v>17</v>
      </c>
      <c r="AB29" s="51">
        <v>69</v>
      </c>
      <c r="AC29" s="51">
        <v>25</v>
      </c>
      <c r="AD29" s="51">
        <f t="shared" si="4"/>
        <v>94</v>
      </c>
      <c r="AE29" s="51">
        <v>2</v>
      </c>
      <c r="AF29" s="51" t="str">
        <f>LOOKUP(AD29,{0,40,45,50,55,60,65,70,75,80,100},{"F","C-","C","C+","B-","B","B+","A-","A","A+","Invalid Entry"})</f>
        <v>A+</v>
      </c>
      <c r="AG29" s="51">
        <f>LOOKUP(AD29,{0,40,45,50,55,60,65,70,75,80,100},{0,2,2.25,2.5,2.75,3,3.25,3.5,3.75,4,"Invalid Entry"})</f>
        <v>4</v>
      </c>
      <c r="AH29" s="42"/>
      <c r="AI29" s="51">
        <f t="shared" si="0"/>
        <v>12</v>
      </c>
      <c r="AJ29" s="51">
        <f t="shared" si="5"/>
        <v>4</v>
      </c>
      <c r="AK29" s="51" t="str">
        <f>LOOKUP(AJ29,{0,2,2.25,2.5,2.75,3,3.25,3.5,3.75,4},{"F","C-","C","C+","B-","B","B+","A-","A","A+"})</f>
        <v>A+</v>
      </c>
    </row>
    <row r="30" spans="1:37">
      <c r="A30" s="51">
        <v>28</v>
      </c>
      <c r="B30" s="51">
        <v>2011236028</v>
      </c>
      <c r="C30" s="51">
        <v>16</v>
      </c>
      <c r="D30" s="51">
        <v>53</v>
      </c>
      <c r="E30" s="51">
        <v>31</v>
      </c>
      <c r="F30" s="51">
        <f t="shared" si="1"/>
        <v>79</v>
      </c>
      <c r="G30" s="51">
        <v>3</v>
      </c>
      <c r="H30" s="51" t="str">
        <f>LOOKUP(F30,{0,40,45,50,55,60,65,70,75,80,100},{"F","C-","C","C+","B-","B","B+","A-","A","A+","Invalid Entry"})</f>
        <v>A</v>
      </c>
      <c r="I30" s="51">
        <f>LOOKUP(F30,{0,40,45,50,55,60,65,70,75,80,100},{0,2,2.25,2.5,2.75,3,3.25,3.5,3.75,4,"Invalid Entry"})</f>
        <v>3.75</v>
      </c>
      <c r="J30" s="39"/>
      <c r="K30" s="51">
        <v>18</v>
      </c>
      <c r="L30" s="51">
        <v>53</v>
      </c>
      <c r="M30" s="51">
        <v>31</v>
      </c>
      <c r="N30" s="51">
        <f t="shared" si="2"/>
        <v>81</v>
      </c>
      <c r="O30" s="51">
        <v>4</v>
      </c>
      <c r="P30" s="51" t="str">
        <f>LOOKUP(N30,{0,40,45,50,55,60,65,70,75,80,100},{"F","C-","C","C+","B-","B","B+","A-","A","A+","Invalid Entry"})</f>
        <v>A+</v>
      </c>
      <c r="Q30" s="51">
        <f>LOOKUP(N30,{0,40,45,50,55,60,65,70,75,80,100},{0,2,2.25,2.5,2.75,3,3.25,3.5,3.75,4,"Invalid Entry"})</f>
        <v>4</v>
      </c>
      <c r="R30" s="39"/>
      <c r="S30" s="51">
        <v>20</v>
      </c>
      <c r="T30" s="51">
        <v>53</v>
      </c>
      <c r="U30" s="51">
        <v>31</v>
      </c>
      <c r="V30" s="51">
        <f t="shared" si="3"/>
        <v>83</v>
      </c>
      <c r="W30" s="51">
        <v>3</v>
      </c>
      <c r="X30" s="51" t="str">
        <f>LOOKUP(V30,{0,40,45,50,55,60,65,70,75,80,100},{"F","C-","C","C+","B-","B","B+","A-","A","A+","Invalid Entry"})</f>
        <v>A+</v>
      </c>
      <c r="Y30" s="51">
        <f>LOOKUP(V30,{0,40,45,50,55,60,65,70,75,80,100},{0,2,2.25,2.5,2.75,3,3.25,3.5,3.75,4,"Invalid Entry"})</f>
        <v>4</v>
      </c>
      <c r="Z30" s="39"/>
      <c r="AA30" s="51">
        <v>17</v>
      </c>
      <c r="AB30" s="51">
        <v>53</v>
      </c>
      <c r="AC30" s="51">
        <v>31</v>
      </c>
      <c r="AD30" s="51">
        <f t="shared" si="4"/>
        <v>80</v>
      </c>
      <c r="AE30" s="51">
        <v>2</v>
      </c>
      <c r="AF30" s="51" t="str">
        <f>LOOKUP(AD30,{0,40,45,50,55,60,65,70,75,80,100},{"F","C-","C","C+","B-","B","B+","A-","A","A+","Invalid Entry"})</f>
        <v>A+</v>
      </c>
      <c r="AG30" s="51">
        <f>LOOKUP(AD30,{0,40,45,50,55,60,65,70,75,80,100},{0,2,2.25,2.5,2.75,3,3.25,3.5,3.75,4,"Invalid Entry"})</f>
        <v>4</v>
      </c>
      <c r="AH30" s="42"/>
      <c r="AI30" s="51">
        <f t="shared" si="0"/>
        <v>12</v>
      </c>
      <c r="AJ30" s="51">
        <f t="shared" si="5"/>
        <v>3.94</v>
      </c>
      <c r="AK30" s="51" t="str">
        <f>LOOKUP(AJ30,{0,2,2.25,2.5,2.75,3,3.25,3.5,3.75,4},{"F","C-","C","C+","B-","B","B+","A-","A","A+"})</f>
        <v>A</v>
      </c>
    </row>
    <row r="31" spans="1:37">
      <c r="A31" s="51">
        <v>29</v>
      </c>
      <c r="B31" s="51">
        <v>2011236029</v>
      </c>
      <c r="C31" s="51">
        <v>14</v>
      </c>
      <c r="D31" s="51">
        <v>70</v>
      </c>
      <c r="E31" s="51">
        <v>26</v>
      </c>
      <c r="F31" s="51">
        <f t="shared" si="1"/>
        <v>92</v>
      </c>
      <c r="G31" s="51">
        <v>3</v>
      </c>
      <c r="H31" s="51" t="str">
        <f>LOOKUP(F31,{0,40,45,50,55,60,65,70,75,80,100},{"F","C-","C","C+","B-","B","B+","A-","A","A+","Invalid Entry"})</f>
        <v>A+</v>
      </c>
      <c r="I31" s="51">
        <f>LOOKUP(F31,{0,40,45,50,55,60,65,70,75,80,100},{0,2,2.25,2.5,2.75,3,3.25,3.5,3.75,4,"Invalid Entry"})</f>
        <v>4</v>
      </c>
      <c r="J31" s="39"/>
      <c r="K31" s="51">
        <v>16</v>
      </c>
      <c r="L31" s="51">
        <v>70</v>
      </c>
      <c r="M31" s="51">
        <v>26</v>
      </c>
      <c r="N31" s="51">
        <f t="shared" si="2"/>
        <v>94</v>
      </c>
      <c r="O31" s="51">
        <v>4</v>
      </c>
      <c r="P31" s="51" t="str">
        <f>LOOKUP(N31,{0,40,45,50,55,60,65,70,75,80,100},{"F","C-","C","C+","B-","B","B+","A-","A","A+","Invalid Entry"})</f>
        <v>A+</v>
      </c>
      <c r="Q31" s="51">
        <f>LOOKUP(N31,{0,40,45,50,55,60,65,70,75,80,100},{0,2,2.25,2.5,2.75,3,3.25,3.5,3.75,4,"Invalid Entry"})</f>
        <v>4</v>
      </c>
      <c r="R31" s="39"/>
      <c r="S31" s="51">
        <v>19</v>
      </c>
      <c r="T31" s="51">
        <v>70</v>
      </c>
      <c r="U31" s="51">
        <v>26</v>
      </c>
      <c r="V31" s="51">
        <f t="shared" si="3"/>
        <v>97</v>
      </c>
      <c r="W31" s="51">
        <v>3</v>
      </c>
      <c r="X31" s="51" t="str">
        <f>LOOKUP(V31,{0,40,45,50,55,60,65,70,75,80,100},{"F","C-","C","C+","B-","B","B+","A-","A","A+","Invalid Entry"})</f>
        <v>A+</v>
      </c>
      <c r="Y31" s="51">
        <f>LOOKUP(V31,{0,40,45,50,55,60,65,70,75,80,100},{0,2,2.25,2.5,2.75,3,3.25,3.5,3.75,4,"Invalid Entry"})</f>
        <v>4</v>
      </c>
      <c r="Z31" s="39"/>
      <c r="AA31" s="51">
        <v>17</v>
      </c>
      <c r="AB31" s="51">
        <v>70</v>
      </c>
      <c r="AC31" s="51">
        <v>26</v>
      </c>
      <c r="AD31" s="51">
        <f t="shared" si="4"/>
        <v>95</v>
      </c>
      <c r="AE31" s="51">
        <v>2</v>
      </c>
      <c r="AF31" s="51" t="str">
        <f>LOOKUP(AD31,{0,40,45,50,55,60,65,70,75,80,100},{"F","C-","C","C+","B-","B","B+","A-","A","A+","Invalid Entry"})</f>
        <v>A+</v>
      </c>
      <c r="AG31" s="51">
        <f>LOOKUP(AD31,{0,40,45,50,55,60,65,70,75,80,100},{0,2,2.25,2.5,2.75,3,3.25,3.5,3.75,4,"Invalid Entry"})</f>
        <v>4</v>
      </c>
      <c r="AH31" s="42"/>
      <c r="AI31" s="51">
        <f t="shared" si="0"/>
        <v>12</v>
      </c>
      <c r="AJ31" s="51">
        <f t="shared" si="5"/>
        <v>4</v>
      </c>
      <c r="AK31" s="51" t="str">
        <f>LOOKUP(AJ31,{0,2,2.25,2.5,2.75,3,3.25,3.5,3.75,4},{"F","C-","C","C+","B-","B","B+","A-","A","A+"})</f>
        <v>A+</v>
      </c>
    </row>
    <row r="32" spans="1:37">
      <c r="A32" s="51">
        <v>30</v>
      </c>
      <c r="B32" s="51">
        <v>2011236030</v>
      </c>
      <c r="C32" s="51">
        <v>19</v>
      </c>
      <c r="D32" s="51">
        <v>46</v>
      </c>
      <c r="E32" s="51">
        <v>27</v>
      </c>
      <c r="F32" s="51">
        <f t="shared" si="1"/>
        <v>74</v>
      </c>
      <c r="G32" s="51">
        <v>3</v>
      </c>
      <c r="H32" s="51" t="str">
        <f>LOOKUP(F32,{0,40,45,50,55,60,65,70,75,80,100},{"F","C-","C","C+","B-","B","B+","A-","A","A+","Invalid Entry"})</f>
        <v>A-</v>
      </c>
      <c r="I32" s="51">
        <f>LOOKUP(F32,{0,40,45,50,55,60,65,70,75,80,100},{0,2,2.25,2.5,2.75,3,3.25,3.5,3.75,4,"Invalid Entry"})</f>
        <v>3.5</v>
      </c>
      <c r="J32" s="39"/>
      <c r="K32" s="51">
        <v>12</v>
      </c>
      <c r="L32" s="51">
        <v>46</v>
      </c>
      <c r="M32" s="51">
        <v>27</v>
      </c>
      <c r="N32" s="51">
        <f t="shared" si="2"/>
        <v>67</v>
      </c>
      <c r="O32" s="51">
        <v>4</v>
      </c>
      <c r="P32" s="51" t="str">
        <f>LOOKUP(N32,{0,40,45,50,55,60,65,70,75,80,100},{"F","C-","C","C+","B-","B","B+","A-","A","A+","Invalid Entry"})</f>
        <v>B+</v>
      </c>
      <c r="Q32" s="51">
        <f>LOOKUP(N32,{0,40,45,50,55,60,65,70,75,80,100},{0,2,2.25,2.5,2.75,3,3.25,3.5,3.75,4,"Invalid Entry"})</f>
        <v>3.25</v>
      </c>
      <c r="R32" s="39"/>
      <c r="S32" s="51">
        <v>12</v>
      </c>
      <c r="T32" s="51">
        <v>46</v>
      </c>
      <c r="U32" s="51">
        <v>27</v>
      </c>
      <c r="V32" s="51">
        <f t="shared" si="3"/>
        <v>67</v>
      </c>
      <c r="W32" s="51">
        <v>3</v>
      </c>
      <c r="X32" s="51" t="str">
        <f>LOOKUP(V32,{0,40,45,50,55,60,65,70,75,80,100},{"F","C-","C","C+","B-","B","B+","A-","A","A+","Invalid Entry"})</f>
        <v>B+</v>
      </c>
      <c r="Y32" s="51">
        <f>LOOKUP(V32,{0,40,45,50,55,60,65,70,75,80,100},{0,2,2.25,2.5,2.75,3,3.25,3.5,3.75,4,"Invalid Entry"})</f>
        <v>3.25</v>
      </c>
      <c r="Z32" s="39"/>
      <c r="AA32" s="51">
        <v>11</v>
      </c>
      <c r="AB32" s="51">
        <v>46</v>
      </c>
      <c r="AC32" s="51">
        <v>27</v>
      </c>
      <c r="AD32" s="51">
        <f t="shared" si="4"/>
        <v>66</v>
      </c>
      <c r="AE32" s="51">
        <v>2</v>
      </c>
      <c r="AF32" s="51" t="str">
        <f>LOOKUP(AD32,{0,40,45,50,55,60,65,70,75,80,100},{"F","C-","C","C+","B-","B","B+","A-","A","A+","Invalid Entry"})</f>
        <v>B+</v>
      </c>
      <c r="AG32" s="51">
        <f>LOOKUP(AD32,{0,40,45,50,55,60,65,70,75,80,100},{0,2,2.25,2.5,2.75,3,3.25,3.5,3.75,4,"Invalid Entry"})</f>
        <v>3.25</v>
      </c>
      <c r="AH32" s="42"/>
      <c r="AI32" s="51">
        <f t="shared" si="0"/>
        <v>12</v>
      </c>
      <c r="AJ32" s="51">
        <f>ROUND(SUM(PRODUCT(I32,G32),PRODUCT(Q32,O32),PRODUCT(Y32,W32),PRODUCT(AG32,AE32))/AI32,2)</f>
        <v>3.31</v>
      </c>
      <c r="AK32" s="51" t="str">
        <f>LOOKUP(AJ32,{0,2,2.25,2.5,2.75,3,3.25,3.5,3.75,4},{"F","C-","C","C+","B-","B","B+","A-","A","A+"})</f>
        <v>B+</v>
      </c>
    </row>
    <row r="33" spans="3:10">
      <c r="C33" s="51"/>
      <c r="D33" s="51"/>
      <c r="E33" s="51"/>
      <c r="F33" s="51"/>
      <c r="G33" s="51"/>
      <c r="H33" s="51"/>
      <c r="I33" s="51"/>
      <c r="J33" s="39"/>
    </row>
  </sheetData>
  <mergeCells count="7">
    <mergeCell ref="AK1:AK2"/>
    <mergeCell ref="C1:I1"/>
    <mergeCell ref="K1:Q1"/>
    <mergeCell ref="S1:Y1"/>
    <mergeCell ref="AA1:AG1"/>
    <mergeCell ref="AI1:AI2"/>
    <mergeCell ref="AJ1:A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3"/>
  <sheetViews>
    <sheetView zoomScale="80" zoomScaleNormal="80" workbookViewId="0">
      <selection activeCell="X41" sqref="X41"/>
    </sheetView>
  </sheetViews>
  <sheetFormatPr defaultRowHeight="15"/>
  <cols>
    <col min="1" max="1" width="9" style="20"/>
    <col min="2" max="2" width="13.125" style="51" customWidth="1"/>
    <col min="3" max="4" width="9" style="20"/>
    <col min="5" max="5" width="15.375" style="20" customWidth="1"/>
    <col min="6" max="7" width="9" style="20"/>
    <col min="8" max="8" width="12.875" style="20" customWidth="1"/>
    <col min="9" max="9" width="9" style="20"/>
    <col min="10" max="10" width="1.25" style="49" customWidth="1"/>
    <col min="11" max="12" width="9" style="20"/>
    <col min="13" max="13" width="15.25" style="20" customWidth="1"/>
    <col min="14" max="15" width="9" style="20"/>
    <col min="16" max="16" width="14" style="20" customWidth="1"/>
    <col min="17" max="17" width="9" style="20"/>
    <col min="18" max="18" width="1.125" style="49" customWidth="1"/>
    <col min="19" max="20" width="9" style="20"/>
    <col min="21" max="21" width="14.625" style="20" customWidth="1"/>
    <col min="22" max="23" width="9" style="20"/>
    <col min="24" max="24" width="12.75" style="20" customWidth="1"/>
    <col min="25" max="25" width="9" style="20"/>
    <col min="26" max="26" width="1.375" style="49" customWidth="1"/>
    <col min="27" max="28" width="9" style="20"/>
    <col min="29" max="29" width="16.625" style="20" customWidth="1"/>
    <col min="30" max="31" width="9" style="20"/>
    <col min="32" max="32" width="12.375" style="20" customWidth="1"/>
    <col min="33" max="33" width="9" style="20" customWidth="1"/>
    <col min="34" max="34" width="1.25" style="46" customWidth="1"/>
    <col min="35" max="35" width="13.25" style="51" customWidth="1"/>
    <col min="36" max="36" width="11.75" style="20" customWidth="1"/>
    <col min="37" max="37" width="14.125" style="20" customWidth="1"/>
    <col min="266" max="266" width="13.125" customWidth="1"/>
    <col min="269" max="269" width="15.375" customWidth="1"/>
    <col min="271" max="271" width="12.875" customWidth="1"/>
    <col min="275" max="275" width="15.25" customWidth="1"/>
    <col min="277" max="277" width="14" customWidth="1"/>
    <col min="281" max="281" width="14.625" customWidth="1"/>
    <col min="283" max="283" width="12.75" customWidth="1"/>
    <col min="287" max="287" width="16.625" customWidth="1"/>
    <col min="289" max="289" width="12.375" customWidth="1"/>
    <col min="291" max="291" width="13.25" customWidth="1"/>
    <col min="292" max="292" width="11.75" customWidth="1"/>
    <col min="293" max="293" width="14.125" customWidth="1"/>
    <col min="522" max="522" width="13.125" customWidth="1"/>
    <col min="525" max="525" width="15.375" customWidth="1"/>
    <col min="527" max="527" width="12.875" customWidth="1"/>
    <col min="531" max="531" width="15.25" customWidth="1"/>
    <col min="533" max="533" width="14" customWidth="1"/>
    <col min="537" max="537" width="14.625" customWidth="1"/>
    <col min="539" max="539" width="12.75" customWidth="1"/>
    <col min="543" max="543" width="16.625" customWidth="1"/>
    <col min="545" max="545" width="12.375" customWidth="1"/>
    <col min="547" max="547" width="13.25" customWidth="1"/>
    <col min="548" max="548" width="11.75" customWidth="1"/>
    <col min="549" max="549" width="14.125" customWidth="1"/>
    <col min="778" max="778" width="13.125" customWidth="1"/>
    <col min="781" max="781" width="15.375" customWidth="1"/>
    <col min="783" max="783" width="12.875" customWidth="1"/>
    <col min="787" max="787" width="15.25" customWidth="1"/>
    <col min="789" max="789" width="14" customWidth="1"/>
    <col min="793" max="793" width="14.625" customWidth="1"/>
    <col min="795" max="795" width="12.75" customWidth="1"/>
    <col min="799" max="799" width="16.625" customWidth="1"/>
    <col min="801" max="801" width="12.375" customWidth="1"/>
    <col min="803" max="803" width="13.25" customWidth="1"/>
    <col min="804" max="804" width="11.75" customWidth="1"/>
    <col min="805" max="805" width="14.125" customWidth="1"/>
    <col min="1034" max="1034" width="13.125" customWidth="1"/>
    <col min="1037" max="1037" width="15.375" customWidth="1"/>
    <col min="1039" max="1039" width="12.875" customWidth="1"/>
    <col min="1043" max="1043" width="15.25" customWidth="1"/>
    <col min="1045" max="1045" width="14" customWidth="1"/>
    <col min="1049" max="1049" width="14.625" customWidth="1"/>
    <col min="1051" max="1051" width="12.75" customWidth="1"/>
    <col min="1055" max="1055" width="16.625" customWidth="1"/>
    <col min="1057" max="1057" width="12.375" customWidth="1"/>
    <col min="1059" max="1059" width="13.25" customWidth="1"/>
    <col min="1060" max="1060" width="11.75" customWidth="1"/>
    <col min="1061" max="1061" width="14.125" customWidth="1"/>
    <col min="1290" max="1290" width="13.125" customWidth="1"/>
    <col min="1293" max="1293" width="15.375" customWidth="1"/>
    <col min="1295" max="1295" width="12.875" customWidth="1"/>
    <col min="1299" max="1299" width="15.25" customWidth="1"/>
    <col min="1301" max="1301" width="14" customWidth="1"/>
    <col min="1305" max="1305" width="14.625" customWidth="1"/>
    <col min="1307" max="1307" width="12.75" customWidth="1"/>
    <col min="1311" max="1311" width="16.625" customWidth="1"/>
    <col min="1313" max="1313" width="12.375" customWidth="1"/>
    <col min="1315" max="1315" width="13.25" customWidth="1"/>
    <col min="1316" max="1316" width="11.75" customWidth="1"/>
    <col min="1317" max="1317" width="14.125" customWidth="1"/>
    <col min="1546" max="1546" width="13.125" customWidth="1"/>
    <col min="1549" max="1549" width="15.375" customWidth="1"/>
    <col min="1551" max="1551" width="12.875" customWidth="1"/>
    <col min="1555" max="1555" width="15.25" customWidth="1"/>
    <col min="1557" max="1557" width="14" customWidth="1"/>
    <col min="1561" max="1561" width="14.625" customWidth="1"/>
    <col min="1563" max="1563" width="12.75" customWidth="1"/>
    <col min="1567" max="1567" width="16.625" customWidth="1"/>
    <col min="1569" max="1569" width="12.375" customWidth="1"/>
    <col min="1571" max="1571" width="13.25" customWidth="1"/>
    <col min="1572" max="1572" width="11.75" customWidth="1"/>
    <col min="1573" max="1573" width="14.125" customWidth="1"/>
    <col min="1802" max="1802" width="13.125" customWidth="1"/>
    <col min="1805" max="1805" width="15.375" customWidth="1"/>
    <col min="1807" max="1807" width="12.875" customWidth="1"/>
    <col min="1811" max="1811" width="15.25" customWidth="1"/>
    <col min="1813" max="1813" width="14" customWidth="1"/>
    <col min="1817" max="1817" width="14.625" customWidth="1"/>
    <col min="1819" max="1819" width="12.75" customWidth="1"/>
    <col min="1823" max="1823" width="16.625" customWidth="1"/>
    <col min="1825" max="1825" width="12.375" customWidth="1"/>
    <col min="1827" max="1827" width="13.25" customWidth="1"/>
    <col min="1828" max="1828" width="11.75" customWidth="1"/>
    <col min="1829" max="1829" width="14.125" customWidth="1"/>
    <col min="2058" max="2058" width="13.125" customWidth="1"/>
    <col min="2061" max="2061" width="15.375" customWidth="1"/>
    <col min="2063" max="2063" width="12.875" customWidth="1"/>
    <col min="2067" max="2067" width="15.25" customWidth="1"/>
    <col min="2069" max="2069" width="14" customWidth="1"/>
    <col min="2073" max="2073" width="14.625" customWidth="1"/>
    <col min="2075" max="2075" width="12.75" customWidth="1"/>
    <col min="2079" max="2079" width="16.625" customWidth="1"/>
    <col min="2081" max="2081" width="12.375" customWidth="1"/>
    <col min="2083" max="2083" width="13.25" customWidth="1"/>
    <col min="2084" max="2084" width="11.75" customWidth="1"/>
    <col min="2085" max="2085" width="14.125" customWidth="1"/>
    <col min="2314" max="2314" width="13.125" customWidth="1"/>
    <col min="2317" max="2317" width="15.375" customWidth="1"/>
    <col min="2319" max="2319" width="12.875" customWidth="1"/>
    <col min="2323" max="2323" width="15.25" customWidth="1"/>
    <col min="2325" max="2325" width="14" customWidth="1"/>
    <col min="2329" max="2329" width="14.625" customWidth="1"/>
    <col min="2331" max="2331" width="12.75" customWidth="1"/>
    <col min="2335" max="2335" width="16.625" customWidth="1"/>
    <col min="2337" max="2337" width="12.375" customWidth="1"/>
    <col min="2339" max="2339" width="13.25" customWidth="1"/>
    <col min="2340" max="2340" width="11.75" customWidth="1"/>
    <col min="2341" max="2341" width="14.125" customWidth="1"/>
    <col min="2570" max="2570" width="13.125" customWidth="1"/>
    <col min="2573" max="2573" width="15.375" customWidth="1"/>
    <col min="2575" max="2575" width="12.875" customWidth="1"/>
    <col min="2579" max="2579" width="15.25" customWidth="1"/>
    <col min="2581" max="2581" width="14" customWidth="1"/>
    <col min="2585" max="2585" width="14.625" customWidth="1"/>
    <col min="2587" max="2587" width="12.75" customWidth="1"/>
    <col min="2591" max="2591" width="16.625" customWidth="1"/>
    <col min="2593" max="2593" width="12.375" customWidth="1"/>
    <col min="2595" max="2595" width="13.25" customWidth="1"/>
    <col min="2596" max="2596" width="11.75" customWidth="1"/>
    <col min="2597" max="2597" width="14.125" customWidth="1"/>
    <col min="2826" max="2826" width="13.125" customWidth="1"/>
    <col min="2829" max="2829" width="15.375" customWidth="1"/>
    <col min="2831" max="2831" width="12.875" customWidth="1"/>
    <col min="2835" max="2835" width="15.25" customWidth="1"/>
    <col min="2837" max="2837" width="14" customWidth="1"/>
    <col min="2841" max="2841" width="14.625" customWidth="1"/>
    <col min="2843" max="2843" width="12.75" customWidth="1"/>
    <col min="2847" max="2847" width="16.625" customWidth="1"/>
    <col min="2849" max="2849" width="12.375" customWidth="1"/>
    <col min="2851" max="2851" width="13.25" customWidth="1"/>
    <col min="2852" max="2852" width="11.75" customWidth="1"/>
    <col min="2853" max="2853" width="14.125" customWidth="1"/>
    <col min="3082" max="3082" width="13.125" customWidth="1"/>
    <col min="3085" max="3085" width="15.375" customWidth="1"/>
    <col min="3087" max="3087" width="12.875" customWidth="1"/>
    <col min="3091" max="3091" width="15.25" customWidth="1"/>
    <col min="3093" max="3093" width="14" customWidth="1"/>
    <col min="3097" max="3097" width="14.625" customWidth="1"/>
    <col min="3099" max="3099" width="12.75" customWidth="1"/>
    <col min="3103" max="3103" width="16.625" customWidth="1"/>
    <col min="3105" max="3105" width="12.375" customWidth="1"/>
    <col min="3107" max="3107" width="13.25" customWidth="1"/>
    <col min="3108" max="3108" width="11.75" customWidth="1"/>
    <col min="3109" max="3109" width="14.125" customWidth="1"/>
    <col min="3338" max="3338" width="13.125" customWidth="1"/>
    <col min="3341" max="3341" width="15.375" customWidth="1"/>
    <col min="3343" max="3343" width="12.875" customWidth="1"/>
    <col min="3347" max="3347" width="15.25" customWidth="1"/>
    <col min="3349" max="3349" width="14" customWidth="1"/>
    <col min="3353" max="3353" width="14.625" customWidth="1"/>
    <col min="3355" max="3355" width="12.75" customWidth="1"/>
    <col min="3359" max="3359" width="16.625" customWidth="1"/>
    <col min="3361" max="3361" width="12.375" customWidth="1"/>
    <col min="3363" max="3363" width="13.25" customWidth="1"/>
    <col min="3364" max="3364" width="11.75" customWidth="1"/>
    <col min="3365" max="3365" width="14.125" customWidth="1"/>
    <col min="3594" max="3594" width="13.125" customWidth="1"/>
    <col min="3597" max="3597" width="15.375" customWidth="1"/>
    <col min="3599" max="3599" width="12.875" customWidth="1"/>
    <col min="3603" max="3603" width="15.25" customWidth="1"/>
    <col min="3605" max="3605" width="14" customWidth="1"/>
    <col min="3609" max="3609" width="14.625" customWidth="1"/>
    <col min="3611" max="3611" width="12.75" customWidth="1"/>
    <col min="3615" max="3615" width="16.625" customWidth="1"/>
    <col min="3617" max="3617" width="12.375" customWidth="1"/>
    <col min="3619" max="3619" width="13.25" customWidth="1"/>
    <col min="3620" max="3620" width="11.75" customWidth="1"/>
    <col min="3621" max="3621" width="14.125" customWidth="1"/>
    <col min="3850" max="3850" width="13.125" customWidth="1"/>
    <col min="3853" max="3853" width="15.375" customWidth="1"/>
    <col min="3855" max="3855" width="12.875" customWidth="1"/>
    <col min="3859" max="3859" width="15.25" customWidth="1"/>
    <col min="3861" max="3861" width="14" customWidth="1"/>
    <col min="3865" max="3865" width="14.625" customWidth="1"/>
    <col min="3867" max="3867" width="12.75" customWidth="1"/>
    <col min="3871" max="3871" width="16.625" customWidth="1"/>
    <col min="3873" max="3873" width="12.375" customWidth="1"/>
    <col min="3875" max="3875" width="13.25" customWidth="1"/>
    <col min="3876" max="3876" width="11.75" customWidth="1"/>
    <col min="3877" max="3877" width="14.125" customWidth="1"/>
    <col min="4106" max="4106" width="13.125" customWidth="1"/>
    <col min="4109" max="4109" width="15.375" customWidth="1"/>
    <col min="4111" max="4111" width="12.875" customWidth="1"/>
    <col min="4115" max="4115" width="15.25" customWidth="1"/>
    <col min="4117" max="4117" width="14" customWidth="1"/>
    <col min="4121" max="4121" width="14.625" customWidth="1"/>
    <col min="4123" max="4123" width="12.75" customWidth="1"/>
    <col min="4127" max="4127" width="16.625" customWidth="1"/>
    <col min="4129" max="4129" width="12.375" customWidth="1"/>
    <col min="4131" max="4131" width="13.25" customWidth="1"/>
    <col min="4132" max="4132" width="11.75" customWidth="1"/>
    <col min="4133" max="4133" width="14.125" customWidth="1"/>
    <col min="4362" max="4362" width="13.125" customWidth="1"/>
    <col min="4365" max="4365" width="15.375" customWidth="1"/>
    <col min="4367" max="4367" width="12.875" customWidth="1"/>
    <col min="4371" max="4371" width="15.25" customWidth="1"/>
    <col min="4373" max="4373" width="14" customWidth="1"/>
    <col min="4377" max="4377" width="14.625" customWidth="1"/>
    <col min="4379" max="4379" width="12.75" customWidth="1"/>
    <col min="4383" max="4383" width="16.625" customWidth="1"/>
    <col min="4385" max="4385" width="12.375" customWidth="1"/>
    <col min="4387" max="4387" width="13.25" customWidth="1"/>
    <col min="4388" max="4388" width="11.75" customWidth="1"/>
    <col min="4389" max="4389" width="14.125" customWidth="1"/>
    <col min="4618" max="4618" width="13.125" customWidth="1"/>
    <col min="4621" max="4621" width="15.375" customWidth="1"/>
    <col min="4623" max="4623" width="12.875" customWidth="1"/>
    <col min="4627" max="4627" width="15.25" customWidth="1"/>
    <col min="4629" max="4629" width="14" customWidth="1"/>
    <col min="4633" max="4633" width="14.625" customWidth="1"/>
    <col min="4635" max="4635" width="12.75" customWidth="1"/>
    <col min="4639" max="4639" width="16.625" customWidth="1"/>
    <col min="4641" max="4641" width="12.375" customWidth="1"/>
    <col min="4643" max="4643" width="13.25" customWidth="1"/>
    <col min="4644" max="4644" width="11.75" customWidth="1"/>
    <col min="4645" max="4645" width="14.125" customWidth="1"/>
    <col min="4874" max="4874" width="13.125" customWidth="1"/>
    <col min="4877" max="4877" width="15.375" customWidth="1"/>
    <col min="4879" max="4879" width="12.875" customWidth="1"/>
    <col min="4883" max="4883" width="15.25" customWidth="1"/>
    <col min="4885" max="4885" width="14" customWidth="1"/>
    <col min="4889" max="4889" width="14.625" customWidth="1"/>
    <col min="4891" max="4891" width="12.75" customWidth="1"/>
    <col min="4895" max="4895" width="16.625" customWidth="1"/>
    <col min="4897" max="4897" width="12.375" customWidth="1"/>
    <col min="4899" max="4899" width="13.25" customWidth="1"/>
    <col min="4900" max="4900" width="11.75" customWidth="1"/>
    <col min="4901" max="4901" width="14.125" customWidth="1"/>
    <col min="5130" max="5130" width="13.125" customWidth="1"/>
    <col min="5133" max="5133" width="15.375" customWidth="1"/>
    <col min="5135" max="5135" width="12.875" customWidth="1"/>
    <col min="5139" max="5139" width="15.25" customWidth="1"/>
    <col min="5141" max="5141" width="14" customWidth="1"/>
    <col min="5145" max="5145" width="14.625" customWidth="1"/>
    <col min="5147" max="5147" width="12.75" customWidth="1"/>
    <col min="5151" max="5151" width="16.625" customWidth="1"/>
    <col min="5153" max="5153" width="12.375" customWidth="1"/>
    <col min="5155" max="5155" width="13.25" customWidth="1"/>
    <col min="5156" max="5156" width="11.75" customWidth="1"/>
    <col min="5157" max="5157" width="14.125" customWidth="1"/>
    <col min="5386" max="5386" width="13.125" customWidth="1"/>
    <col min="5389" max="5389" width="15.375" customWidth="1"/>
    <col min="5391" max="5391" width="12.875" customWidth="1"/>
    <col min="5395" max="5395" width="15.25" customWidth="1"/>
    <col min="5397" max="5397" width="14" customWidth="1"/>
    <col min="5401" max="5401" width="14.625" customWidth="1"/>
    <col min="5403" max="5403" width="12.75" customWidth="1"/>
    <col min="5407" max="5407" width="16.625" customWidth="1"/>
    <col min="5409" max="5409" width="12.375" customWidth="1"/>
    <col min="5411" max="5411" width="13.25" customWidth="1"/>
    <col min="5412" max="5412" width="11.75" customWidth="1"/>
    <col min="5413" max="5413" width="14.125" customWidth="1"/>
    <col min="5642" max="5642" width="13.125" customWidth="1"/>
    <col min="5645" max="5645" width="15.375" customWidth="1"/>
    <col min="5647" max="5647" width="12.875" customWidth="1"/>
    <col min="5651" max="5651" width="15.25" customWidth="1"/>
    <col min="5653" max="5653" width="14" customWidth="1"/>
    <col min="5657" max="5657" width="14.625" customWidth="1"/>
    <col min="5659" max="5659" width="12.75" customWidth="1"/>
    <col min="5663" max="5663" width="16.625" customWidth="1"/>
    <col min="5665" max="5665" width="12.375" customWidth="1"/>
    <col min="5667" max="5667" width="13.25" customWidth="1"/>
    <col min="5668" max="5668" width="11.75" customWidth="1"/>
    <col min="5669" max="5669" width="14.125" customWidth="1"/>
    <col min="5898" max="5898" width="13.125" customWidth="1"/>
    <col min="5901" max="5901" width="15.375" customWidth="1"/>
    <col min="5903" max="5903" width="12.875" customWidth="1"/>
    <col min="5907" max="5907" width="15.25" customWidth="1"/>
    <col min="5909" max="5909" width="14" customWidth="1"/>
    <col min="5913" max="5913" width="14.625" customWidth="1"/>
    <col min="5915" max="5915" width="12.75" customWidth="1"/>
    <col min="5919" max="5919" width="16.625" customWidth="1"/>
    <col min="5921" max="5921" width="12.375" customWidth="1"/>
    <col min="5923" max="5923" width="13.25" customWidth="1"/>
    <col min="5924" max="5924" width="11.75" customWidth="1"/>
    <col min="5925" max="5925" width="14.125" customWidth="1"/>
    <col min="6154" max="6154" width="13.125" customWidth="1"/>
    <col min="6157" max="6157" width="15.375" customWidth="1"/>
    <col min="6159" max="6159" width="12.875" customWidth="1"/>
    <col min="6163" max="6163" width="15.25" customWidth="1"/>
    <col min="6165" max="6165" width="14" customWidth="1"/>
    <col min="6169" max="6169" width="14.625" customWidth="1"/>
    <col min="6171" max="6171" width="12.75" customWidth="1"/>
    <col min="6175" max="6175" width="16.625" customWidth="1"/>
    <col min="6177" max="6177" width="12.375" customWidth="1"/>
    <col min="6179" max="6179" width="13.25" customWidth="1"/>
    <col min="6180" max="6180" width="11.75" customWidth="1"/>
    <col min="6181" max="6181" width="14.125" customWidth="1"/>
    <col min="6410" max="6410" width="13.125" customWidth="1"/>
    <col min="6413" max="6413" width="15.375" customWidth="1"/>
    <col min="6415" max="6415" width="12.875" customWidth="1"/>
    <col min="6419" max="6419" width="15.25" customWidth="1"/>
    <col min="6421" max="6421" width="14" customWidth="1"/>
    <col min="6425" max="6425" width="14.625" customWidth="1"/>
    <col min="6427" max="6427" width="12.75" customWidth="1"/>
    <col min="6431" max="6431" width="16.625" customWidth="1"/>
    <col min="6433" max="6433" width="12.375" customWidth="1"/>
    <col min="6435" max="6435" width="13.25" customWidth="1"/>
    <col min="6436" max="6436" width="11.75" customWidth="1"/>
    <col min="6437" max="6437" width="14.125" customWidth="1"/>
    <col min="6666" max="6666" width="13.125" customWidth="1"/>
    <col min="6669" max="6669" width="15.375" customWidth="1"/>
    <col min="6671" max="6671" width="12.875" customWidth="1"/>
    <col min="6675" max="6675" width="15.25" customWidth="1"/>
    <col min="6677" max="6677" width="14" customWidth="1"/>
    <col min="6681" max="6681" width="14.625" customWidth="1"/>
    <col min="6683" max="6683" width="12.75" customWidth="1"/>
    <col min="6687" max="6687" width="16.625" customWidth="1"/>
    <col min="6689" max="6689" width="12.375" customWidth="1"/>
    <col min="6691" max="6691" width="13.25" customWidth="1"/>
    <col min="6692" max="6692" width="11.75" customWidth="1"/>
    <col min="6693" max="6693" width="14.125" customWidth="1"/>
    <col min="6922" max="6922" width="13.125" customWidth="1"/>
    <col min="6925" max="6925" width="15.375" customWidth="1"/>
    <col min="6927" max="6927" width="12.875" customWidth="1"/>
    <col min="6931" max="6931" width="15.25" customWidth="1"/>
    <col min="6933" max="6933" width="14" customWidth="1"/>
    <col min="6937" max="6937" width="14.625" customWidth="1"/>
    <col min="6939" max="6939" width="12.75" customWidth="1"/>
    <col min="6943" max="6943" width="16.625" customWidth="1"/>
    <col min="6945" max="6945" width="12.375" customWidth="1"/>
    <col min="6947" max="6947" width="13.25" customWidth="1"/>
    <col min="6948" max="6948" width="11.75" customWidth="1"/>
    <col min="6949" max="6949" width="14.125" customWidth="1"/>
    <col min="7178" max="7178" width="13.125" customWidth="1"/>
    <col min="7181" max="7181" width="15.375" customWidth="1"/>
    <col min="7183" max="7183" width="12.875" customWidth="1"/>
    <col min="7187" max="7187" width="15.25" customWidth="1"/>
    <col min="7189" max="7189" width="14" customWidth="1"/>
    <col min="7193" max="7193" width="14.625" customWidth="1"/>
    <col min="7195" max="7195" width="12.75" customWidth="1"/>
    <col min="7199" max="7199" width="16.625" customWidth="1"/>
    <col min="7201" max="7201" width="12.375" customWidth="1"/>
    <col min="7203" max="7203" width="13.25" customWidth="1"/>
    <col min="7204" max="7204" width="11.75" customWidth="1"/>
    <col min="7205" max="7205" width="14.125" customWidth="1"/>
    <col min="7434" max="7434" width="13.125" customWidth="1"/>
    <col min="7437" max="7437" width="15.375" customWidth="1"/>
    <col min="7439" max="7439" width="12.875" customWidth="1"/>
    <col min="7443" max="7443" width="15.25" customWidth="1"/>
    <col min="7445" max="7445" width="14" customWidth="1"/>
    <col min="7449" max="7449" width="14.625" customWidth="1"/>
    <col min="7451" max="7451" width="12.75" customWidth="1"/>
    <col min="7455" max="7455" width="16.625" customWidth="1"/>
    <col min="7457" max="7457" width="12.375" customWidth="1"/>
    <col min="7459" max="7459" width="13.25" customWidth="1"/>
    <col min="7460" max="7460" width="11.75" customWidth="1"/>
    <col min="7461" max="7461" width="14.125" customWidth="1"/>
    <col min="7690" max="7690" width="13.125" customWidth="1"/>
    <col min="7693" max="7693" width="15.375" customWidth="1"/>
    <col min="7695" max="7695" width="12.875" customWidth="1"/>
    <col min="7699" max="7699" width="15.25" customWidth="1"/>
    <col min="7701" max="7701" width="14" customWidth="1"/>
    <col min="7705" max="7705" width="14.625" customWidth="1"/>
    <col min="7707" max="7707" width="12.75" customWidth="1"/>
    <col min="7711" max="7711" width="16.625" customWidth="1"/>
    <col min="7713" max="7713" width="12.375" customWidth="1"/>
    <col min="7715" max="7715" width="13.25" customWidth="1"/>
    <col min="7716" max="7716" width="11.75" customWidth="1"/>
    <col min="7717" max="7717" width="14.125" customWidth="1"/>
    <col min="7946" max="7946" width="13.125" customWidth="1"/>
    <col min="7949" max="7949" width="15.375" customWidth="1"/>
    <col min="7951" max="7951" width="12.875" customWidth="1"/>
    <col min="7955" max="7955" width="15.25" customWidth="1"/>
    <col min="7957" max="7957" width="14" customWidth="1"/>
    <col min="7961" max="7961" width="14.625" customWidth="1"/>
    <col min="7963" max="7963" width="12.75" customWidth="1"/>
    <col min="7967" max="7967" width="16.625" customWidth="1"/>
    <col min="7969" max="7969" width="12.375" customWidth="1"/>
    <col min="7971" max="7971" width="13.25" customWidth="1"/>
    <col min="7972" max="7972" width="11.75" customWidth="1"/>
    <col min="7973" max="7973" width="14.125" customWidth="1"/>
    <col min="8202" max="8202" width="13.125" customWidth="1"/>
    <col min="8205" max="8205" width="15.375" customWidth="1"/>
    <col min="8207" max="8207" width="12.875" customWidth="1"/>
    <col min="8211" max="8211" width="15.25" customWidth="1"/>
    <col min="8213" max="8213" width="14" customWidth="1"/>
    <col min="8217" max="8217" width="14.625" customWidth="1"/>
    <col min="8219" max="8219" width="12.75" customWidth="1"/>
    <col min="8223" max="8223" width="16.625" customWidth="1"/>
    <col min="8225" max="8225" width="12.375" customWidth="1"/>
    <col min="8227" max="8227" width="13.25" customWidth="1"/>
    <col min="8228" max="8228" width="11.75" customWidth="1"/>
    <col min="8229" max="8229" width="14.125" customWidth="1"/>
    <col min="8458" max="8458" width="13.125" customWidth="1"/>
    <col min="8461" max="8461" width="15.375" customWidth="1"/>
    <col min="8463" max="8463" width="12.875" customWidth="1"/>
    <col min="8467" max="8467" width="15.25" customWidth="1"/>
    <col min="8469" max="8469" width="14" customWidth="1"/>
    <col min="8473" max="8473" width="14.625" customWidth="1"/>
    <col min="8475" max="8475" width="12.75" customWidth="1"/>
    <col min="8479" max="8479" width="16.625" customWidth="1"/>
    <col min="8481" max="8481" width="12.375" customWidth="1"/>
    <col min="8483" max="8483" width="13.25" customWidth="1"/>
    <col min="8484" max="8484" width="11.75" customWidth="1"/>
    <col min="8485" max="8485" width="14.125" customWidth="1"/>
    <col min="8714" max="8714" width="13.125" customWidth="1"/>
    <col min="8717" max="8717" width="15.375" customWidth="1"/>
    <col min="8719" max="8719" width="12.875" customWidth="1"/>
    <col min="8723" max="8723" width="15.25" customWidth="1"/>
    <col min="8725" max="8725" width="14" customWidth="1"/>
    <col min="8729" max="8729" width="14.625" customWidth="1"/>
    <col min="8731" max="8731" width="12.75" customWidth="1"/>
    <col min="8735" max="8735" width="16.625" customWidth="1"/>
    <col min="8737" max="8737" width="12.375" customWidth="1"/>
    <col min="8739" max="8739" width="13.25" customWidth="1"/>
    <col min="8740" max="8740" width="11.75" customWidth="1"/>
    <col min="8741" max="8741" width="14.125" customWidth="1"/>
    <col min="8970" max="8970" width="13.125" customWidth="1"/>
    <col min="8973" max="8973" width="15.375" customWidth="1"/>
    <col min="8975" max="8975" width="12.875" customWidth="1"/>
    <col min="8979" max="8979" width="15.25" customWidth="1"/>
    <col min="8981" max="8981" width="14" customWidth="1"/>
    <col min="8985" max="8985" width="14.625" customWidth="1"/>
    <col min="8987" max="8987" width="12.75" customWidth="1"/>
    <col min="8991" max="8991" width="16.625" customWidth="1"/>
    <col min="8993" max="8993" width="12.375" customWidth="1"/>
    <col min="8995" max="8995" width="13.25" customWidth="1"/>
    <col min="8996" max="8996" width="11.75" customWidth="1"/>
    <col min="8997" max="8997" width="14.125" customWidth="1"/>
    <col min="9226" max="9226" width="13.125" customWidth="1"/>
    <col min="9229" max="9229" width="15.375" customWidth="1"/>
    <col min="9231" max="9231" width="12.875" customWidth="1"/>
    <col min="9235" max="9235" width="15.25" customWidth="1"/>
    <col min="9237" max="9237" width="14" customWidth="1"/>
    <col min="9241" max="9241" width="14.625" customWidth="1"/>
    <col min="9243" max="9243" width="12.75" customWidth="1"/>
    <col min="9247" max="9247" width="16.625" customWidth="1"/>
    <col min="9249" max="9249" width="12.375" customWidth="1"/>
    <col min="9251" max="9251" width="13.25" customWidth="1"/>
    <col min="9252" max="9252" width="11.75" customWidth="1"/>
    <col min="9253" max="9253" width="14.125" customWidth="1"/>
    <col min="9482" max="9482" width="13.125" customWidth="1"/>
    <col min="9485" max="9485" width="15.375" customWidth="1"/>
    <col min="9487" max="9487" width="12.875" customWidth="1"/>
    <col min="9491" max="9491" width="15.25" customWidth="1"/>
    <col min="9493" max="9493" width="14" customWidth="1"/>
    <col min="9497" max="9497" width="14.625" customWidth="1"/>
    <col min="9499" max="9499" width="12.75" customWidth="1"/>
    <col min="9503" max="9503" width="16.625" customWidth="1"/>
    <col min="9505" max="9505" width="12.375" customWidth="1"/>
    <col min="9507" max="9507" width="13.25" customWidth="1"/>
    <col min="9508" max="9508" width="11.75" customWidth="1"/>
    <col min="9509" max="9509" width="14.125" customWidth="1"/>
    <col min="9738" max="9738" width="13.125" customWidth="1"/>
    <col min="9741" max="9741" width="15.375" customWidth="1"/>
    <col min="9743" max="9743" width="12.875" customWidth="1"/>
    <col min="9747" max="9747" width="15.25" customWidth="1"/>
    <col min="9749" max="9749" width="14" customWidth="1"/>
    <col min="9753" max="9753" width="14.625" customWidth="1"/>
    <col min="9755" max="9755" width="12.75" customWidth="1"/>
    <col min="9759" max="9759" width="16.625" customWidth="1"/>
    <col min="9761" max="9761" width="12.375" customWidth="1"/>
    <col min="9763" max="9763" width="13.25" customWidth="1"/>
    <col min="9764" max="9764" width="11.75" customWidth="1"/>
    <col min="9765" max="9765" width="14.125" customWidth="1"/>
    <col min="9994" max="9994" width="13.125" customWidth="1"/>
    <col min="9997" max="9997" width="15.375" customWidth="1"/>
    <col min="9999" max="9999" width="12.875" customWidth="1"/>
    <col min="10003" max="10003" width="15.25" customWidth="1"/>
    <col min="10005" max="10005" width="14" customWidth="1"/>
    <col min="10009" max="10009" width="14.625" customWidth="1"/>
    <col min="10011" max="10011" width="12.75" customWidth="1"/>
    <col min="10015" max="10015" width="16.625" customWidth="1"/>
    <col min="10017" max="10017" width="12.375" customWidth="1"/>
    <col min="10019" max="10019" width="13.25" customWidth="1"/>
    <col min="10020" max="10020" width="11.75" customWidth="1"/>
    <col min="10021" max="10021" width="14.125" customWidth="1"/>
    <col min="10250" max="10250" width="13.125" customWidth="1"/>
    <col min="10253" max="10253" width="15.375" customWidth="1"/>
    <col min="10255" max="10255" width="12.875" customWidth="1"/>
    <col min="10259" max="10259" width="15.25" customWidth="1"/>
    <col min="10261" max="10261" width="14" customWidth="1"/>
    <col min="10265" max="10265" width="14.625" customWidth="1"/>
    <col min="10267" max="10267" width="12.75" customWidth="1"/>
    <col min="10271" max="10271" width="16.625" customWidth="1"/>
    <col min="10273" max="10273" width="12.375" customWidth="1"/>
    <col min="10275" max="10275" width="13.25" customWidth="1"/>
    <col min="10276" max="10276" width="11.75" customWidth="1"/>
    <col min="10277" max="10277" width="14.125" customWidth="1"/>
    <col min="10506" max="10506" width="13.125" customWidth="1"/>
    <col min="10509" max="10509" width="15.375" customWidth="1"/>
    <col min="10511" max="10511" width="12.875" customWidth="1"/>
    <col min="10515" max="10515" width="15.25" customWidth="1"/>
    <col min="10517" max="10517" width="14" customWidth="1"/>
    <col min="10521" max="10521" width="14.625" customWidth="1"/>
    <col min="10523" max="10523" width="12.75" customWidth="1"/>
    <col min="10527" max="10527" width="16.625" customWidth="1"/>
    <col min="10529" max="10529" width="12.375" customWidth="1"/>
    <col min="10531" max="10531" width="13.25" customWidth="1"/>
    <col min="10532" max="10532" width="11.75" customWidth="1"/>
    <col min="10533" max="10533" width="14.125" customWidth="1"/>
    <col min="10762" max="10762" width="13.125" customWidth="1"/>
    <col min="10765" max="10765" width="15.375" customWidth="1"/>
    <col min="10767" max="10767" width="12.875" customWidth="1"/>
    <col min="10771" max="10771" width="15.25" customWidth="1"/>
    <col min="10773" max="10773" width="14" customWidth="1"/>
    <col min="10777" max="10777" width="14.625" customWidth="1"/>
    <col min="10779" max="10779" width="12.75" customWidth="1"/>
    <col min="10783" max="10783" width="16.625" customWidth="1"/>
    <col min="10785" max="10785" width="12.375" customWidth="1"/>
    <col min="10787" max="10787" width="13.25" customWidth="1"/>
    <col min="10788" max="10788" width="11.75" customWidth="1"/>
    <col min="10789" max="10789" width="14.125" customWidth="1"/>
    <col min="11018" max="11018" width="13.125" customWidth="1"/>
    <col min="11021" max="11021" width="15.375" customWidth="1"/>
    <col min="11023" max="11023" width="12.875" customWidth="1"/>
    <col min="11027" max="11027" width="15.25" customWidth="1"/>
    <col min="11029" max="11029" width="14" customWidth="1"/>
    <col min="11033" max="11033" width="14.625" customWidth="1"/>
    <col min="11035" max="11035" width="12.75" customWidth="1"/>
    <col min="11039" max="11039" width="16.625" customWidth="1"/>
    <col min="11041" max="11041" width="12.375" customWidth="1"/>
    <col min="11043" max="11043" width="13.25" customWidth="1"/>
    <col min="11044" max="11044" width="11.75" customWidth="1"/>
    <col min="11045" max="11045" width="14.125" customWidth="1"/>
    <col min="11274" max="11274" width="13.125" customWidth="1"/>
    <col min="11277" max="11277" width="15.375" customWidth="1"/>
    <col min="11279" max="11279" width="12.875" customWidth="1"/>
    <col min="11283" max="11283" width="15.25" customWidth="1"/>
    <col min="11285" max="11285" width="14" customWidth="1"/>
    <col min="11289" max="11289" width="14.625" customWidth="1"/>
    <col min="11291" max="11291" width="12.75" customWidth="1"/>
    <col min="11295" max="11295" width="16.625" customWidth="1"/>
    <col min="11297" max="11297" width="12.375" customWidth="1"/>
    <col min="11299" max="11299" width="13.25" customWidth="1"/>
    <col min="11300" max="11300" width="11.75" customWidth="1"/>
    <col min="11301" max="11301" width="14.125" customWidth="1"/>
    <col min="11530" max="11530" width="13.125" customWidth="1"/>
    <col min="11533" max="11533" width="15.375" customWidth="1"/>
    <col min="11535" max="11535" width="12.875" customWidth="1"/>
    <col min="11539" max="11539" width="15.25" customWidth="1"/>
    <col min="11541" max="11541" width="14" customWidth="1"/>
    <col min="11545" max="11545" width="14.625" customWidth="1"/>
    <col min="11547" max="11547" width="12.75" customWidth="1"/>
    <col min="11551" max="11551" width="16.625" customWidth="1"/>
    <col min="11553" max="11553" width="12.375" customWidth="1"/>
    <col min="11555" max="11555" width="13.25" customWidth="1"/>
    <col min="11556" max="11556" width="11.75" customWidth="1"/>
    <col min="11557" max="11557" width="14.125" customWidth="1"/>
    <col min="11786" max="11786" width="13.125" customWidth="1"/>
    <col min="11789" max="11789" width="15.375" customWidth="1"/>
    <col min="11791" max="11791" width="12.875" customWidth="1"/>
    <col min="11795" max="11795" width="15.25" customWidth="1"/>
    <col min="11797" max="11797" width="14" customWidth="1"/>
    <col min="11801" max="11801" width="14.625" customWidth="1"/>
    <col min="11803" max="11803" width="12.75" customWidth="1"/>
    <col min="11807" max="11807" width="16.625" customWidth="1"/>
    <col min="11809" max="11809" width="12.375" customWidth="1"/>
    <col min="11811" max="11811" width="13.25" customWidth="1"/>
    <col min="11812" max="11812" width="11.75" customWidth="1"/>
    <col min="11813" max="11813" width="14.125" customWidth="1"/>
    <col min="12042" max="12042" width="13.125" customWidth="1"/>
    <col min="12045" max="12045" width="15.375" customWidth="1"/>
    <col min="12047" max="12047" width="12.875" customWidth="1"/>
    <col min="12051" max="12051" width="15.25" customWidth="1"/>
    <col min="12053" max="12053" width="14" customWidth="1"/>
    <col min="12057" max="12057" width="14.625" customWidth="1"/>
    <col min="12059" max="12059" width="12.75" customWidth="1"/>
    <col min="12063" max="12063" width="16.625" customWidth="1"/>
    <col min="12065" max="12065" width="12.375" customWidth="1"/>
    <col min="12067" max="12067" width="13.25" customWidth="1"/>
    <col min="12068" max="12068" width="11.75" customWidth="1"/>
    <col min="12069" max="12069" width="14.125" customWidth="1"/>
    <col min="12298" max="12298" width="13.125" customWidth="1"/>
    <col min="12301" max="12301" width="15.375" customWidth="1"/>
    <col min="12303" max="12303" width="12.875" customWidth="1"/>
    <col min="12307" max="12307" width="15.25" customWidth="1"/>
    <col min="12309" max="12309" width="14" customWidth="1"/>
    <col min="12313" max="12313" width="14.625" customWidth="1"/>
    <col min="12315" max="12315" width="12.75" customWidth="1"/>
    <col min="12319" max="12319" width="16.625" customWidth="1"/>
    <col min="12321" max="12321" width="12.375" customWidth="1"/>
    <col min="12323" max="12323" width="13.25" customWidth="1"/>
    <col min="12324" max="12324" width="11.75" customWidth="1"/>
    <col min="12325" max="12325" width="14.125" customWidth="1"/>
    <col min="12554" max="12554" width="13.125" customWidth="1"/>
    <col min="12557" max="12557" width="15.375" customWidth="1"/>
    <col min="12559" max="12559" width="12.875" customWidth="1"/>
    <col min="12563" max="12563" width="15.25" customWidth="1"/>
    <col min="12565" max="12565" width="14" customWidth="1"/>
    <col min="12569" max="12569" width="14.625" customWidth="1"/>
    <col min="12571" max="12571" width="12.75" customWidth="1"/>
    <col min="12575" max="12575" width="16.625" customWidth="1"/>
    <col min="12577" max="12577" width="12.375" customWidth="1"/>
    <col min="12579" max="12579" width="13.25" customWidth="1"/>
    <col min="12580" max="12580" width="11.75" customWidth="1"/>
    <col min="12581" max="12581" width="14.125" customWidth="1"/>
    <col min="12810" max="12810" width="13.125" customWidth="1"/>
    <col min="12813" max="12813" width="15.375" customWidth="1"/>
    <col min="12815" max="12815" width="12.875" customWidth="1"/>
    <col min="12819" max="12819" width="15.25" customWidth="1"/>
    <col min="12821" max="12821" width="14" customWidth="1"/>
    <col min="12825" max="12825" width="14.625" customWidth="1"/>
    <col min="12827" max="12827" width="12.75" customWidth="1"/>
    <col min="12831" max="12831" width="16.625" customWidth="1"/>
    <col min="12833" max="12833" width="12.375" customWidth="1"/>
    <col min="12835" max="12835" width="13.25" customWidth="1"/>
    <col min="12836" max="12836" width="11.75" customWidth="1"/>
    <col min="12837" max="12837" width="14.125" customWidth="1"/>
    <col min="13066" max="13066" width="13.125" customWidth="1"/>
    <col min="13069" max="13069" width="15.375" customWidth="1"/>
    <col min="13071" max="13071" width="12.875" customWidth="1"/>
    <col min="13075" max="13075" width="15.25" customWidth="1"/>
    <col min="13077" max="13077" width="14" customWidth="1"/>
    <col min="13081" max="13081" width="14.625" customWidth="1"/>
    <col min="13083" max="13083" width="12.75" customWidth="1"/>
    <col min="13087" max="13087" width="16.625" customWidth="1"/>
    <col min="13089" max="13089" width="12.375" customWidth="1"/>
    <col min="13091" max="13091" width="13.25" customWidth="1"/>
    <col min="13092" max="13092" width="11.75" customWidth="1"/>
    <col min="13093" max="13093" width="14.125" customWidth="1"/>
    <col min="13322" max="13322" width="13.125" customWidth="1"/>
    <col min="13325" max="13325" width="15.375" customWidth="1"/>
    <col min="13327" max="13327" width="12.875" customWidth="1"/>
    <col min="13331" max="13331" width="15.25" customWidth="1"/>
    <col min="13333" max="13333" width="14" customWidth="1"/>
    <col min="13337" max="13337" width="14.625" customWidth="1"/>
    <col min="13339" max="13339" width="12.75" customWidth="1"/>
    <col min="13343" max="13343" width="16.625" customWidth="1"/>
    <col min="13345" max="13345" width="12.375" customWidth="1"/>
    <col min="13347" max="13347" width="13.25" customWidth="1"/>
    <col min="13348" max="13348" width="11.75" customWidth="1"/>
    <col min="13349" max="13349" width="14.125" customWidth="1"/>
    <col min="13578" max="13578" width="13.125" customWidth="1"/>
    <col min="13581" max="13581" width="15.375" customWidth="1"/>
    <col min="13583" max="13583" width="12.875" customWidth="1"/>
    <col min="13587" max="13587" width="15.25" customWidth="1"/>
    <col min="13589" max="13589" width="14" customWidth="1"/>
    <col min="13593" max="13593" width="14.625" customWidth="1"/>
    <col min="13595" max="13595" width="12.75" customWidth="1"/>
    <col min="13599" max="13599" width="16.625" customWidth="1"/>
    <col min="13601" max="13601" width="12.375" customWidth="1"/>
    <col min="13603" max="13603" width="13.25" customWidth="1"/>
    <col min="13604" max="13604" width="11.75" customWidth="1"/>
    <col min="13605" max="13605" width="14.125" customWidth="1"/>
    <col min="13834" max="13834" width="13.125" customWidth="1"/>
    <col min="13837" max="13837" width="15.375" customWidth="1"/>
    <col min="13839" max="13839" width="12.875" customWidth="1"/>
    <col min="13843" max="13843" width="15.25" customWidth="1"/>
    <col min="13845" max="13845" width="14" customWidth="1"/>
    <col min="13849" max="13849" width="14.625" customWidth="1"/>
    <col min="13851" max="13851" width="12.75" customWidth="1"/>
    <col min="13855" max="13855" width="16.625" customWidth="1"/>
    <col min="13857" max="13857" width="12.375" customWidth="1"/>
    <col min="13859" max="13859" width="13.25" customWidth="1"/>
    <col min="13860" max="13860" width="11.75" customWidth="1"/>
    <col min="13861" max="13861" width="14.125" customWidth="1"/>
    <col min="14090" max="14090" width="13.125" customWidth="1"/>
    <col min="14093" max="14093" width="15.375" customWidth="1"/>
    <col min="14095" max="14095" width="12.875" customWidth="1"/>
    <col min="14099" max="14099" width="15.25" customWidth="1"/>
    <col min="14101" max="14101" width="14" customWidth="1"/>
    <col min="14105" max="14105" width="14.625" customWidth="1"/>
    <col min="14107" max="14107" width="12.75" customWidth="1"/>
    <col min="14111" max="14111" width="16.625" customWidth="1"/>
    <col min="14113" max="14113" width="12.375" customWidth="1"/>
    <col min="14115" max="14115" width="13.25" customWidth="1"/>
    <col min="14116" max="14116" width="11.75" customWidth="1"/>
    <col min="14117" max="14117" width="14.125" customWidth="1"/>
    <col min="14346" max="14346" width="13.125" customWidth="1"/>
    <col min="14349" max="14349" width="15.375" customWidth="1"/>
    <col min="14351" max="14351" width="12.875" customWidth="1"/>
    <col min="14355" max="14355" width="15.25" customWidth="1"/>
    <col min="14357" max="14357" width="14" customWidth="1"/>
    <col min="14361" max="14361" width="14.625" customWidth="1"/>
    <col min="14363" max="14363" width="12.75" customWidth="1"/>
    <col min="14367" max="14367" width="16.625" customWidth="1"/>
    <col min="14369" max="14369" width="12.375" customWidth="1"/>
    <col min="14371" max="14371" width="13.25" customWidth="1"/>
    <col min="14372" max="14372" width="11.75" customWidth="1"/>
    <col min="14373" max="14373" width="14.125" customWidth="1"/>
    <col min="14602" max="14602" width="13.125" customWidth="1"/>
    <col min="14605" max="14605" width="15.375" customWidth="1"/>
    <col min="14607" max="14607" width="12.875" customWidth="1"/>
    <col min="14611" max="14611" width="15.25" customWidth="1"/>
    <col min="14613" max="14613" width="14" customWidth="1"/>
    <col min="14617" max="14617" width="14.625" customWidth="1"/>
    <col min="14619" max="14619" width="12.75" customWidth="1"/>
    <col min="14623" max="14623" width="16.625" customWidth="1"/>
    <col min="14625" max="14625" width="12.375" customWidth="1"/>
    <col min="14627" max="14627" width="13.25" customWidth="1"/>
    <col min="14628" max="14628" width="11.75" customWidth="1"/>
    <col min="14629" max="14629" width="14.125" customWidth="1"/>
    <col min="14858" max="14858" width="13.125" customWidth="1"/>
    <col min="14861" max="14861" width="15.375" customWidth="1"/>
    <col min="14863" max="14863" width="12.875" customWidth="1"/>
    <col min="14867" max="14867" width="15.25" customWidth="1"/>
    <col min="14869" max="14869" width="14" customWidth="1"/>
    <col min="14873" max="14873" width="14.625" customWidth="1"/>
    <col min="14875" max="14875" width="12.75" customWidth="1"/>
    <col min="14879" max="14879" width="16.625" customWidth="1"/>
    <col min="14881" max="14881" width="12.375" customWidth="1"/>
    <col min="14883" max="14883" width="13.25" customWidth="1"/>
    <col min="14884" max="14884" width="11.75" customWidth="1"/>
    <col min="14885" max="14885" width="14.125" customWidth="1"/>
    <col min="15114" max="15114" width="13.125" customWidth="1"/>
    <col min="15117" max="15117" width="15.375" customWidth="1"/>
    <col min="15119" max="15119" width="12.875" customWidth="1"/>
    <col min="15123" max="15123" width="15.25" customWidth="1"/>
    <col min="15125" max="15125" width="14" customWidth="1"/>
    <col min="15129" max="15129" width="14.625" customWidth="1"/>
    <col min="15131" max="15131" width="12.75" customWidth="1"/>
    <col min="15135" max="15135" width="16.625" customWidth="1"/>
    <col min="15137" max="15137" width="12.375" customWidth="1"/>
    <col min="15139" max="15139" width="13.25" customWidth="1"/>
    <col min="15140" max="15140" width="11.75" customWidth="1"/>
    <col min="15141" max="15141" width="14.125" customWidth="1"/>
    <col min="15370" max="15370" width="13.125" customWidth="1"/>
    <col min="15373" max="15373" width="15.375" customWidth="1"/>
    <col min="15375" max="15375" width="12.875" customWidth="1"/>
    <col min="15379" max="15379" width="15.25" customWidth="1"/>
    <col min="15381" max="15381" width="14" customWidth="1"/>
    <col min="15385" max="15385" width="14.625" customWidth="1"/>
    <col min="15387" max="15387" width="12.75" customWidth="1"/>
    <col min="15391" max="15391" width="16.625" customWidth="1"/>
    <col min="15393" max="15393" width="12.375" customWidth="1"/>
    <col min="15395" max="15395" width="13.25" customWidth="1"/>
    <col min="15396" max="15396" width="11.75" customWidth="1"/>
    <col min="15397" max="15397" width="14.125" customWidth="1"/>
    <col min="15626" max="15626" width="13.125" customWidth="1"/>
    <col min="15629" max="15629" width="15.375" customWidth="1"/>
    <col min="15631" max="15631" width="12.875" customWidth="1"/>
    <col min="15635" max="15635" width="15.25" customWidth="1"/>
    <col min="15637" max="15637" width="14" customWidth="1"/>
    <col min="15641" max="15641" width="14.625" customWidth="1"/>
    <col min="15643" max="15643" width="12.75" customWidth="1"/>
    <col min="15647" max="15647" width="16.625" customWidth="1"/>
    <col min="15649" max="15649" width="12.375" customWidth="1"/>
    <col min="15651" max="15651" width="13.25" customWidth="1"/>
    <col min="15652" max="15652" width="11.75" customWidth="1"/>
    <col min="15653" max="15653" width="14.125" customWidth="1"/>
    <col min="15882" max="15882" width="13.125" customWidth="1"/>
    <col min="15885" max="15885" width="15.375" customWidth="1"/>
    <col min="15887" max="15887" width="12.875" customWidth="1"/>
    <col min="15891" max="15891" width="15.25" customWidth="1"/>
    <col min="15893" max="15893" width="14" customWidth="1"/>
    <col min="15897" max="15897" width="14.625" customWidth="1"/>
    <col min="15899" max="15899" width="12.75" customWidth="1"/>
    <col min="15903" max="15903" width="16.625" customWidth="1"/>
    <col min="15905" max="15905" width="12.375" customWidth="1"/>
    <col min="15907" max="15907" width="13.25" customWidth="1"/>
    <col min="15908" max="15908" width="11.75" customWidth="1"/>
    <col min="15909" max="15909" width="14.125" customWidth="1"/>
    <col min="16138" max="16138" width="13.125" customWidth="1"/>
    <col min="16141" max="16141" width="15.375" customWidth="1"/>
    <col min="16143" max="16143" width="12.875" customWidth="1"/>
    <col min="16147" max="16147" width="15.25" customWidth="1"/>
    <col min="16149" max="16149" width="14" customWidth="1"/>
    <col min="16153" max="16153" width="14.625" customWidth="1"/>
    <col min="16155" max="16155" width="12.75" customWidth="1"/>
    <col min="16159" max="16159" width="16.625" customWidth="1"/>
    <col min="16161" max="16161" width="12.375" customWidth="1"/>
    <col min="16163" max="16163" width="13.25" customWidth="1"/>
    <col min="16164" max="16164" width="11.75" customWidth="1"/>
    <col min="16165" max="16165" width="14.125" customWidth="1"/>
  </cols>
  <sheetData>
    <row r="1" spans="1:37">
      <c r="C1" s="69" t="str">
        <f>CourseList!B6</f>
        <v>ENG-211</v>
      </c>
      <c r="D1" s="69"/>
      <c r="E1" s="69"/>
      <c r="F1" s="69"/>
      <c r="G1" s="69"/>
      <c r="H1" s="69"/>
      <c r="I1" s="69"/>
      <c r="J1" s="47"/>
      <c r="K1" s="70" t="str">
        <f>CourseList!B7</f>
        <v>ENG-213</v>
      </c>
      <c r="L1" s="70"/>
      <c r="M1" s="70"/>
      <c r="N1" s="70"/>
      <c r="O1" s="70"/>
      <c r="P1" s="70"/>
      <c r="Q1" s="70"/>
      <c r="R1" s="47"/>
      <c r="S1" s="71" t="str">
        <f>CourseList!B8</f>
        <v>ENG-215</v>
      </c>
      <c r="T1" s="71"/>
      <c r="U1" s="71"/>
      <c r="V1" s="71"/>
      <c r="W1" s="71"/>
      <c r="X1" s="71"/>
      <c r="Y1" s="71"/>
      <c r="Z1" s="47"/>
      <c r="AA1" s="72" t="str">
        <f>CourseList!B9</f>
        <v>ENG-217</v>
      </c>
      <c r="AB1" s="72"/>
      <c r="AC1" s="72"/>
      <c r="AD1" s="72"/>
      <c r="AE1" s="72"/>
      <c r="AF1" s="72"/>
      <c r="AG1" s="72"/>
      <c r="AH1" s="44"/>
      <c r="AI1" s="65" t="s">
        <v>98</v>
      </c>
      <c r="AJ1" s="65" t="s">
        <v>99</v>
      </c>
      <c r="AK1" s="65" t="s">
        <v>100</v>
      </c>
    </row>
    <row r="2" spans="1:37">
      <c r="A2" s="50" t="s">
        <v>121</v>
      </c>
      <c r="B2" s="52" t="str" cm="1">
        <f t="array" ref="B2:B32">StudentList!B1:B31</f>
        <v>Student ID</v>
      </c>
      <c r="C2" s="50" t="s">
        <v>101</v>
      </c>
      <c r="D2" s="50" t="s">
        <v>102</v>
      </c>
      <c r="E2" s="50" t="s">
        <v>103</v>
      </c>
      <c r="F2" s="50" t="s">
        <v>104</v>
      </c>
      <c r="G2" s="50" t="s">
        <v>96</v>
      </c>
      <c r="H2" s="50" t="s">
        <v>100</v>
      </c>
      <c r="I2" s="50" t="s">
        <v>105</v>
      </c>
      <c r="J2" s="47"/>
      <c r="K2" s="50" t="s">
        <v>101</v>
      </c>
      <c r="L2" s="50" t="s">
        <v>102</v>
      </c>
      <c r="M2" s="50" t="s">
        <v>103</v>
      </c>
      <c r="N2" s="50" t="s">
        <v>104</v>
      </c>
      <c r="O2" s="50" t="s">
        <v>96</v>
      </c>
      <c r="P2" s="50" t="s">
        <v>100</v>
      </c>
      <c r="Q2" s="50" t="s">
        <v>105</v>
      </c>
      <c r="R2" s="47"/>
      <c r="S2" s="50" t="s">
        <v>101</v>
      </c>
      <c r="T2" s="50" t="s">
        <v>102</v>
      </c>
      <c r="U2" s="50" t="s">
        <v>103</v>
      </c>
      <c r="V2" s="50" t="s">
        <v>104</v>
      </c>
      <c r="W2" s="50" t="s">
        <v>96</v>
      </c>
      <c r="X2" s="50" t="s">
        <v>100</v>
      </c>
      <c r="Y2" s="50" t="s">
        <v>105</v>
      </c>
      <c r="Z2" s="47"/>
      <c r="AA2" s="50" t="s">
        <v>101</v>
      </c>
      <c r="AB2" s="50" t="s">
        <v>102</v>
      </c>
      <c r="AC2" s="50" t="s">
        <v>103</v>
      </c>
      <c r="AD2" s="50" t="s">
        <v>104</v>
      </c>
      <c r="AE2" s="50" t="s">
        <v>96</v>
      </c>
      <c r="AF2" s="50" t="s">
        <v>100</v>
      </c>
      <c r="AG2" s="50" t="s">
        <v>105</v>
      </c>
      <c r="AH2" s="44"/>
      <c r="AI2" s="65"/>
      <c r="AJ2" s="65"/>
      <c r="AK2" s="65"/>
    </row>
    <row r="3" spans="1:37">
      <c r="A3" s="51">
        <v>1</v>
      </c>
      <c r="B3" s="51">
        <v>2011236001</v>
      </c>
      <c r="C3" s="51">
        <v>20</v>
      </c>
      <c r="D3" s="51">
        <v>60</v>
      </c>
      <c r="E3" s="51">
        <v>30</v>
      </c>
      <c r="F3" s="51">
        <f>SUM(C3,D3,IF(E3&gt;29,10,IF(E3&gt;26,9,IF(E3&gt;23,8,IF(E3&gt;20,7,IF(E3&gt;17,6,0))))))</f>
        <v>90</v>
      </c>
      <c r="G3" s="51">
        <v>4</v>
      </c>
      <c r="H3" s="51" t="str">
        <f>LOOKUP(F3,{0,40,45,50,55,60,65,70,75,80,100},{"F","C-","C","C+","B-","B","B+","A-","A","A+","Invalid Entry"})</f>
        <v>A+</v>
      </c>
      <c r="I3" s="51">
        <f>LOOKUP(F3,{0,40,45,50,55,60,65,70,75,80,100},{0,2,2.25,2.5,2.75,3,3.25,3.5,3.75,4,"Invalid Entry"})</f>
        <v>4</v>
      </c>
      <c r="J3" s="48"/>
      <c r="K3" s="51">
        <v>19</v>
      </c>
      <c r="L3" s="51">
        <v>53</v>
      </c>
      <c r="M3" s="51">
        <v>30</v>
      </c>
      <c r="N3" s="51">
        <f>SUM(K3,L3,IF(M3&gt;29,10,IF(M3&gt;26,9,IF(M3&gt;23,8,IF(M3&gt;20,7,IF(M3&gt;17,6,0))))))</f>
        <v>82</v>
      </c>
      <c r="O3" s="51">
        <v>3</v>
      </c>
      <c r="P3" s="51" t="str">
        <f>LOOKUP(N3,{0,40,45,50,55,60,65,70,75,80,100},{"F","C-","C","C+","B-","B","B+","A-","A","A+","Invalid Entry"})</f>
        <v>A+</v>
      </c>
      <c r="Q3" s="51">
        <f>LOOKUP(N3,{0,40,45,50,55,60,65,70,75,80,100},{0,2,2.25,2.5,2.75,3,3.25,3.5,3.75,4,"Invalid Entry"})</f>
        <v>4</v>
      </c>
      <c r="R3" s="48"/>
      <c r="S3" s="51">
        <v>20</v>
      </c>
      <c r="T3" s="51">
        <v>55</v>
      </c>
      <c r="U3" s="51">
        <v>30</v>
      </c>
      <c r="V3" s="51">
        <f>SUM(S3,T3,IF(U3&gt;29,10,IF(U3&gt;26,9,IF(U3&gt;23,8,IF(U3&gt;20,7,IF(U3&gt;17,6,0))))))</f>
        <v>85</v>
      </c>
      <c r="W3" s="51">
        <v>4</v>
      </c>
      <c r="X3" s="51" t="str">
        <f>LOOKUP(V3,{0,40,45,50,55,60,65,70,75,80,100},{"F","C-","C","C+","B-","B","B+","A-","A","A+","Invalid Entry"})</f>
        <v>A+</v>
      </c>
      <c r="Y3" s="51">
        <f>LOOKUP(V3,{0,40,45,50,55,60,65,70,75,80,100},{0,2,2.25,2.5,2.75,3,3.25,3.5,3.75,4,"Invalid Entry"})</f>
        <v>4</v>
      </c>
      <c r="Z3" s="48"/>
      <c r="AA3" s="51">
        <v>17</v>
      </c>
      <c r="AB3" s="51">
        <v>63</v>
      </c>
      <c r="AC3" s="51">
        <v>30</v>
      </c>
      <c r="AD3" s="51">
        <f>SUM(AA3,AB3,IF(AC3&gt;29,10,IF(AC3&gt;26,9,IF(AC3&gt;23,8,IF(AC3&gt;20,7,IF(AC3&gt;17,6,0))))))</f>
        <v>90</v>
      </c>
      <c r="AE3" s="51">
        <v>2</v>
      </c>
      <c r="AF3" s="51" t="str">
        <f>LOOKUP(AD3,{0,40,45,50,55,60,65,70,75,80,100},{"F","C-","C","C+","B-","B","B+","A-","A","A+","Invalid Entry"})</f>
        <v>A+</v>
      </c>
      <c r="AG3" s="51">
        <f>LOOKUP(AD3,{0,40,45,50,55,60,65,70,75,80,100},{0,2,2.25,2.5,2.75,3,3.25,3.5,3.75,4,"Invalid Entry"})</f>
        <v>4</v>
      </c>
      <c r="AH3" s="45"/>
      <c r="AI3" s="51">
        <f>SUM(G3,O3,W3,AE3)</f>
        <v>13</v>
      </c>
      <c r="AJ3" s="51">
        <f>ROUND(SUM(PRODUCT(I3,G3),PRODUCT(Q3,O3),PRODUCT(Y3,W3),PRODUCT(AG3,AE3))/AI3,2)</f>
        <v>4</v>
      </c>
      <c r="AK3" s="51" t="str">
        <f>LOOKUP(AJ3,{0,2,2.25,2.5,2.75,3,3.25,3.5,3.75,4},{"F","C-","C","C+","B-","B","B+","A-","A","A+"})</f>
        <v>A+</v>
      </c>
    </row>
    <row r="4" spans="1:37">
      <c r="A4" s="51">
        <v>2</v>
      </c>
      <c r="B4" s="51">
        <v>2011236002</v>
      </c>
      <c r="C4" s="51">
        <v>11</v>
      </c>
      <c r="D4" s="51">
        <v>62</v>
      </c>
      <c r="E4" s="51">
        <v>30</v>
      </c>
      <c r="F4" s="51">
        <f t="shared" ref="F4:F32" si="0">SUM(C4,D4,IF(E4&gt;29,10,IF(E4&gt;26,9,IF(E4&gt;23,8,IF(E4&gt;20,7,IF(E4&gt;17,6,0))))))</f>
        <v>83</v>
      </c>
      <c r="G4" s="51">
        <v>4</v>
      </c>
      <c r="H4" s="51" t="str">
        <f>LOOKUP(F4,{0,40,45,50,55,60,65,70,75,80,100},{"F","C-","C","C+","B-","B","B+","A-","A","A+","Invalid Entry"})</f>
        <v>A+</v>
      </c>
      <c r="I4" s="51">
        <f>LOOKUP(F4,{0,40,45,50,55,60,65,70,75,80,100},{0,2,2.25,2.5,2.75,3,3.25,3.5,3.75,4,"Invalid Entry"})</f>
        <v>4</v>
      </c>
      <c r="J4" s="48"/>
      <c r="K4" s="51">
        <v>12</v>
      </c>
      <c r="L4" s="51">
        <v>45</v>
      </c>
      <c r="M4" s="51">
        <v>30</v>
      </c>
      <c r="N4" s="51">
        <f t="shared" ref="N4:N32" si="1">SUM(K4,L4,IF(M4&gt;29,10,IF(M4&gt;26,9,IF(M4&gt;23,8,IF(M4&gt;20,7,IF(M4&gt;17,6,0))))))</f>
        <v>67</v>
      </c>
      <c r="O4" s="51">
        <v>3</v>
      </c>
      <c r="P4" s="51" t="str">
        <f>LOOKUP(N4,{0,40,45,50,55,60,65,70,75,80,100},{"F","C-","C","C+","B-","B","B+","A-","A","A+","Invalid Entry"})</f>
        <v>B+</v>
      </c>
      <c r="Q4" s="51">
        <f>LOOKUP(N4,{0,40,45,50,55,60,65,70,75,80,100},{0,2,2.25,2.5,2.75,3,3.25,3.5,3.75,4,"Invalid Entry"})</f>
        <v>3.25</v>
      </c>
      <c r="R4" s="48"/>
      <c r="S4" s="51">
        <v>15</v>
      </c>
      <c r="T4" s="51">
        <v>68</v>
      </c>
      <c r="U4" s="51">
        <v>30</v>
      </c>
      <c r="V4" s="51">
        <f t="shared" ref="V4:V32" si="2">SUM(S4,T4,IF(U4&gt;29,10,IF(U4&gt;26,9,IF(U4&gt;23,8,IF(U4&gt;20,7,IF(U4&gt;17,6,0))))))</f>
        <v>93</v>
      </c>
      <c r="W4" s="51">
        <v>4</v>
      </c>
      <c r="X4" s="51" t="str">
        <f>LOOKUP(V4,{0,40,45,50,55,60,65,70,75,80,100},{"F","C-","C","C+","B-","B","B+","A-","A","A+","Invalid Entry"})</f>
        <v>A+</v>
      </c>
      <c r="Y4" s="51">
        <f>LOOKUP(V4,{0,40,45,50,55,60,65,70,75,80,100},{0,2,2.25,2.5,2.75,3,3.25,3.5,3.75,4,"Invalid Entry"})</f>
        <v>4</v>
      </c>
      <c r="Z4" s="48"/>
      <c r="AA4" s="51">
        <v>18</v>
      </c>
      <c r="AB4" s="51">
        <v>45</v>
      </c>
      <c r="AC4" s="51">
        <v>30</v>
      </c>
      <c r="AD4" s="51">
        <f t="shared" ref="AD4:AD32" si="3">SUM(AA4,AB4,IF(AC4&gt;29,10,IF(AC4&gt;26,9,IF(AC4&gt;23,8,IF(AC4&gt;20,7,IF(AC4&gt;17,6,0))))))</f>
        <v>73</v>
      </c>
      <c r="AE4" s="51">
        <v>2</v>
      </c>
      <c r="AF4" s="51" t="str">
        <f>LOOKUP(AD4,{0,40,45,50,55,60,65,70,75,80,100},{"F","C-","C","C+","B-","B","B+","A-","A","A+","Invalid Entry"})</f>
        <v>A-</v>
      </c>
      <c r="AG4" s="51">
        <f>LOOKUP(AD4,{0,40,45,50,55,60,65,70,75,80,100},{0,2,2.25,2.5,2.75,3,3.25,3.5,3.75,4,"Invalid Entry"})</f>
        <v>3.5</v>
      </c>
      <c r="AH4" s="45"/>
      <c r="AI4" s="51">
        <f>SUM(G4,O4,W4,AE4)</f>
        <v>13</v>
      </c>
      <c r="AJ4" s="51">
        <f t="shared" ref="AJ4:AJ32" si="4">ROUND(SUM(PRODUCT(I4,G4),PRODUCT(Q4,O4),PRODUCT(Y4,W4),PRODUCT(AG4,AE4))/AI4,2)</f>
        <v>3.75</v>
      </c>
      <c r="AK4" s="51" t="str">
        <f>LOOKUP(AJ4,{0,2,2.25,2.5,2.75,3,3.25,3.5,3.75,4},{"F","C-","C","C+","B-","B","B+","A-","A","A+"})</f>
        <v>A</v>
      </c>
    </row>
    <row r="5" spans="1:37">
      <c r="A5" s="51">
        <v>3</v>
      </c>
      <c r="B5" s="51">
        <v>2011236003</v>
      </c>
      <c r="C5" s="51">
        <v>19</v>
      </c>
      <c r="D5" s="51">
        <v>65</v>
      </c>
      <c r="E5" s="51">
        <v>26</v>
      </c>
      <c r="F5" s="51">
        <f t="shared" si="0"/>
        <v>92</v>
      </c>
      <c r="G5" s="51">
        <v>4</v>
      </c>
      <c r="H5" s="51" t="str">
        <f>LOOKUP(F5,{0,40,45,50,55,60,65,70,75,80,100},{"F","C-","C","C+","B-","B","B+","A-","A","A+","Invalid Entry"})</f>
        <v>A+</v>
      </c>
      <c r="I5" s="51">
        <f>LOOKUP(F5,{0,40,45,50,55,60,65,70,75,80,100},{0,2,2.25,2.5,2.75,3,3.25,3.5,3.75,4,"Invalid Entry"})</f>
        <v>4</v>
      </c>
      <c r="J5" s="48"/>
      <c r="K5" s="51">
        <v>13</v>
      </c>
      <c r="L5" s="51">
        <v>42</v>
      </c>
      <c r="M5" s="51">
        <v>26</v>
      </c>
      <c r="N5" s="51">
        <f t="shared" si="1"/>
        <v>63</v>
      </c>
      <c r="O5" s="51">
        <v>3</v>
      </c>
      <c r="P5" s="51" t="str">
        <f>LOOKUP(N5,{0,40,45,50,55,60,65,70,75,80,100},{"F","C-","C","C+","B-","B","B+","A-","A","A+","Invalid Entry"})</f>
        <v>B</v>
      </c>
      <c r="Q5" s="51">
        <f>LOOKUP(N5,{0,40,45,50,55,60,65,70,75,80,100},{0,2,2.25,2.5,2.75,3,3.25,3.5,3.75,4,"Invalid Entry"})</f>
        <v>3</v>
      </c>
      <c r="R5" s="48"/>
      <c r="S5" s="51">
        <v>20</v>
      </c>
      <c r="T5" s="51">
        <v>55</v>
      </c>
      <c r="U5" s="51">
        <v>26</v>
      </c>
      <c r="V5" s="51">
        <f t="shared" si="2"/>
        <v>83</v>
      </c>
      <c r="W5" s="51">
        <v>4</v>
      </c>
      <c r="X5" s="51" t="str">
        <f>LOOKUP(V5,{0,40,45,50,55,60,65,70,75,80,100},{"F","C-","C","C+","B-","B","B+","A-","A","A+","Invalid Entry"})</f>
        <v>A+</v>
      </c>
      <c r="Y5" s="51">
        <f>LOOKUP(V5,{0,40,45,50,55,60,65,70,75,80,100},{0,2,2.25,2.5,2.75,3,3.25,3.5,3.75,4,"Invalid Entry"})</f>
        <v>4</v>
      </c>
      <c r="Z5" s="48"/>
      <c r="AA5" s="51">
        <v>11</v>
      </c>
      <c r="AB5" s="51">
        <v>57</v>
      </c>
      <c r="AC5" s="51">
        <v>26</v>
      </c>
      <c r="AD5" s="51">
        <f t="shared" si="3"/>
        <v>76</v>
      </c>
      <c r="AE5" s="51">
        <v>2</v>
      </c>
      <c r="AF5" s="51" t="str">
        <f>LOOKUP(AD5,{0,40,45,50,55,60,65,70,75,80,100},{"F","C-","C","C+","B-","B","B+","A-","A","A+","Invalid Entry"})</f>
        <v>A</v>
      </c>
      <c r="AG5" s="51">
        <f>LOOKUP(AD5,{0,40,45,50,55,60,65,70,75,80,100},{0,2,2.25,2.5,2.75,3,3.25,3.5,3.75,4,"Invalid Entry"})</f>
        <v>3.75</v>
      </c>
      <c r="AH5" s="45"/>
      <c r="AI5" s="51">
        <f t="shared" ref="AI5:AI32" si="5">SUM(G5,O5,W5,AE5)</f>
        <v>13</v>
      </c>
      <c r="AJ5" s="51">
        <f t="shared" si="4"/>
        <v>3.73</v>
      </c>
      <c r="AK5" s="51" t="str">
        <f>LOOKUP(AJ5,{0,2,2.25,2.5,2.75,3,3.25,3.5,3.75,4},{"F","C-","C","C+","B-","B","B+","A-","A","A+"})</f>
        <v>A-</v>
      </c>
    </row>
    <row r="6" spans="1:37">
      <c r="A6" s="51">
        <v>4</v>
      </c>
      <c r="B6" s="51">
        <v>2011236004</v>
      </c>
      <c r="C6" s="51">
        <v>15</v>
      </c>
      <c r="D6" s="51">
        <v>60</v>
      </c>
      <c r="E6" s="51">
        <v>31</v>
      </c>
      <c r="F6" s="51">
        <f t="shared" si="0"/>
        <v>85</v>
      </c>
      <c r="G6" s="51">
        <v>4</v>
      </c>
      <c r="H6" s="51" t="str">
        <f>LOOKUP(F6,{0,40,45,50,55,60,65,70,75,80,100},{"F","C-","C","C+","B-","B","B+","A-","A","A+","Invalid Entry"})</f>
        <v>A+</v>
      </c>
      <c r="I6" s="51">
        <f>LOOKUP(F6,{0,40,45,50,55,60,65,70,75,80,100},{0,2,2.25,2.5,2.75,3,3.25,3.5,3.75,4,"Invalid Entry"})</f>
        <v>4</v>
      </c>
      <c r="J6" s="48"/>
      <c r="K6" s="51">
        <v>14</v>
      </c>
      <c r="L6" s="51">
        <v>59</v>
      </c>
      <c r="M6" s="51">
        <v>31</v>
      </c>
      <c r="N6" s="51">
        <f t="shared" si="1"/>
        <v>83</v>
      </c>
      <c r="O6" s="51">
        <v>3</v>
      </c>
      <c r="P6" s="51" t="str">
        <f>LOOKUP(N6,{0,40,45,50,55,60,65,70,75,80,100},{"F","C-","C","C+","B-","B","B+","A-","A","A+","Invalid Entry"})</f>
        <v>A+</v>
      </c>
      <c r="Q6" s="51">
        <f>LOOKUP(N6,{0,40,45,50,55,60,65,70,75,80,100},{0,2,2.25,2.5,2.75,3,3.25,3.5,3.75,4,"Invalid Entry"})</f>
        <v>4</v>
      </c>
      <c r="R6" s="48"/>
      <c r="S6" s="51">
        <v>10</v>
      </c>
      <c r="T6" s="51">
        <v>45</v>
      </c>
      <c r="U6" s="51">
        <v>31</v>
      </c>
      <c r="V6" s="51">
        <f t="shared" si="2"/>
        <v>65</v>
      </c>
      <c r="W6" s="51">
        <v>4</v>
      </c>
      <c r="X6" s="51" t="str">
        <f>LOOKUP(V6,{0,40,45,50,55,60,65,70,75,80,100},{"F","C-","C","C+","B-","B","B+","A-","A","A+","Invalid Entry"})</f>
        <v>B+</v>
      </c>
      <c r="Y6" s="51">
        <f>LOOKUP(V6,{0,40,45,50,55,60,65,70,75,80,100},{0,2,2.25,2.5,2.75,3,3.25,3.5,3.75,4,"Invalid Entry"})</f>
        <v>3.25</v>
      </c>
      <c r="Z6" s="48"/>
      <c r="AA6" s="51">
        <v>16</v>
      </c>
      <c r="AB6" s="51">
        <v>55</v>
      </c>
      <c r="AC6" s="51">
        <v>31</v>
      </c>
      <c r="AD6" s="51">
        <f t="shared" si="3"/>
        <v>81</v>
      </c>
      <c r="AE6" s="51">
        <v>2</v>
      </c>
      <c r="AF6" s="51" t="str">
        <f>LOOKUP(AD6,{0,40,45,50,55,60,65,70,75,80,100},{"F","C-","C","C+","B-","B","B+","A-","A","A+","Invalid Entry"})</f>
        <v>A+</v>
      </c>
      <c r="AG6" s="51">
        <f>LOOKUP(AD6,{0,40,45,50,55,60,65,70,75,80,100},{0,2,2.25,2.5,2.75,3,3.25,3.5,3.75,4,"Invalid Entry"})</f>
        <v>4</v>
      </c>
      <c r="AH6" s="45"/>
      <c r="AI6" s="51">
        <f t="shared" si="5"/>
        <v>13</v>
      </c>
      <c r="AJ6" s="51">
        <f t="shared" si="4"/>
        <v>3.77</v>
      </c>
      <c r="AK6" s="51" t="str">
        <f>LOOKUP(AJ6,{0,2,2.25,2.5,2.75,3,3.25,3.5,3.75,4},{"F","C-","C","C+","B-","B","B+","A-","A","A+"})</f>
        <v>A</v>
      </c>
    </row>
    <row r="7" spans="1:37">
      <c r="A7" s="51">
        <v>5</v>
      </c>
      <c r="B7" s="51">
        <v>2011236005</v>
      </c>
      <c r="C7" s="51">
        <v>19</v>
      </c>
      <c r="D7" s="51">
        <v>44</v>
      </c>
      <c r="E7" s="51">
        <v>25</v>
      </c>
      <c r="F7" s="51">
        <f t="shared" si="0"/>
        <v>71</v>
      </c>
      <c r="G7" s="51">
        <v>4</v>
      </c>
      <c r="H7" s="51" t="str">
        <f>LOOKUP(F7,{0,40,45,50,55,60,65,70,75,80,100},{"F","C-","C","C+","B-","B","B+","A-","A","A+","Invalid Entry"})</f>
        <v>A-</v>
      </c>
      <c r="I7" s="51">
        <f>LOOKUP(F7,{0,40,45,50,55,60,65,70,75,80,100},{0,2,2.25,2.5,2.75,3,3.25,3.5,3.75,4,"Invalid Entry"})</f>
        <v>3.5</v>
      </c>
      <c r="J7" s="48"/>
      <c r="K7" s="51">
        <v>19</v>
      </c>
      <c r="L7" s="51">
        <v>40</v>
      </c>
      <c r="M7" s="51">
        <v>25</v>
      </c>
      <c r="N7" s="51">
        <f t="shared" si="1"/>
        <v>67</v>
      </c>
      <c r="O7" s="51">
        <v>3</v>
      </c>
      <c r="P7" s="51" t="str">
        <f>LOOKUP(N7,{0,40,45,50,55,60,65,70,75,80,100},{"F","C-","C","C+","B-","B","B+","A-","A","A+","Invalid Entry"})</f>
        <v>B+</v>
      </c>
      <c r="Q7" s="51">
        <f>LOOKUP(N7,{0,40,45,50,55,60,65,70,75,80,100},{0,2,2.25,2.5,2.75,3,3.25,3.5,3.75,4,"Invalid Entry"})</f>
        <v>3.25</v>
      </c>
      <c r="R7" s="48"/>
      <c r="S7" s="51">
        <v>17</v>
      </c>
      <c r="T7" s="51">
        <v>60</v>
      </c>
      <c r="U7" s="51">
        <v>25</v>
      </c>
      <c r="V7" s="51">
        <f t="shared" si="2"/>
        <v>85</v>
      </c>
      <c r="W7" s="51">
        <v>4</v>
      </c>
      <c r="X7" s="51" t="str">
        <f>LOOKUP(V7,{0,40,45,50,55,60,65,70,75,80,100},{"F","C-","C","C+","B-","B","B+","A-","A","A+","Invalid Entry"})</f>
        <v>A+</v>
      </c>
      <c r="Y7" s="51">
        <f>LOOKUP(V7,{0,40,45,50,55,60,65,70,75,80,100},{0,2,2.25,2.5,2.75,3,3.25,3.5,3.75,4,"Invalid Entry"})</f>
        <v>4</v>
      </c>
      <c r="Z7" s="48"/>
      <c r="AA7" s="51">
        <v>10</v>
      </c>
      <c r="AB7" s="51">
        <v>56</v>
      </c>
      <c r="AC7" s="51">
        <v>25</v>
      </c>
      <c r="AD7" s="51">
        <f t="shared" si="3"/>
        <v>74</v>
      </c>
      <c r="AE7" s="51">
        <v>2</v>
      </c>
      <c r="AF7" s="51" t="str">
        <f>LOOKUP(AD7,{0,40,45,50,55,60,65,70,75,80,100},{"F","C-","C","C+","B-","B","B+","A-","A","A+","Invalid Entry"})</f>
        <v>A-</v>
      </c>
      <c r="AG7" s="51">
        <f>LOOKUP(AD7,{0,40,45,50,55,60,65,70,75,80,100},{0,2,2.25,2.5,2.75,3,3.25,3.5,3.75,4,"Invalid Entry"})</f>
        <v>3.5</v>
      </c>
      <c r="AH7" s="45"/>
      <c r="AI7" s="51">
        <f t="shared" si="5"/>
        <v>13</v>
      </c>
      <c r="AJ7" s="51">
        <f t="shared" si="4"/>
        <v>3.6</v>
      </c>
      <c r="AK7" s="51" t="str">
        <f>LOOKUP(AJ7,{0,2,2.25,2.5,2.75,3,3.25,3.5,3.75,4},{"F","C-","C","C+","B-","B","B+","A-","A","A+"})</f>
        <v>A-</v>
      </c>
    </row>
    <row r="8" spans="1:37">
      <c r="A8" s="51">
        <v>6</v>
      </c>
      <c r="B8" s="51">
        <v>2011236006</v>
      </c>
      <c r="C8" s="51">
        <v>14</v>
      </c>
      <c r="D8" s="51">
        <v>53</v>
      </c>
      <c r="E8" s="51">
        <v>21</v>
      </c>
      <c r="F8" s="51">
        <f t="shared" si="0"/>
        <v>74</v>
      </c>
      <c r="G8" s="51">
        <v>4</v>
      </c>
      <c r="H8" s="51" t="str">
        <f>LOOKUP(F8,{0,40,45,50,55,60,65,70,75,80,100},{"F","C-","C","C+","B-","B","B+","A-","A","A+","Invalid Entry"})</f>
        <v>A-</v>
      </c>
      <c r="I8" s="51">
        <f>LOOKUP(F8,{0,40,45,50,55,60,65,70,75,80,100},{0,2,2.25,2.5,2.75,3,3.25,3.5,3.75,4,"Invalid Entry"})</f>
        <v>3.5</v>
      </c>
      <c r="J8" s="48"/>
      <c r="K8" s="51">
        <v>18</v>
      </c>
      <c r="L8" s="51">
        <v>57</v>
      </c>
      <c r="M8" s="51">
        <v>21</v>
      </c>
      <c r="N8" s="51">
        <f t="shared" si="1"/>
        <v>82</v>
      </c>
      <c r="O8" s="51">
        <v>3</v>
      </c>
      <c r="P8" s="51" t="str">
        <f>LOOKUP(N8,{0,40,45,50,55,60,65,70,75,80,100},{"F","C-","C","C+","B-","B","B+","A-","A","A+","Invalid Entry"})</f>
        <v>A+</v>
      </c>
      <c r="Q8" s="51">
        <f>LOOKUP(N8,{0,40,45,50,55,60,65,70,75,80,100},{0,2,2.25,2.5,2.75,3,3.25,3.5,3.75,4,"Invalid Entry"})</f>
        <v>4</v>
      </c>
      <c r="R8" s="48"/>
      <c r="S8" s="51">
        <v>13</v>
      </c>
      <c r="T8" s="51">
        <v>65</v>
      </c>
      <c r="U8" s="51">
        <v>21</v>
      </c>
      <c r="V8" s="51">
        <f t="shared" si="2"/>
        <v>85</v>
      </c>
      <c r="W8" s="51">
        <v>4</v>
      </c>
      <c r="X8" s="51" t="str">
        <f>LOOKUP(V8,{0,40,45,50,55,60,65,70,75,80,100},{"F","C-","C","C+","B-","B","B+","A-","A","A+","Invalid Entry"})</f>
        <v>A+</v>
      </c>
      <c r="Y8" s="51">
        <f>LOOKUP(V8,{0,40,45,50,55,60,65,70,75,80,100},{0,2,2.25,2.5,2.75,3,3.25,3.5,3.75,4,"Invalid Entry"})</f>
        <v>4</v>
      </c>
      <c r="Z8" s="48"/>
      <c r="AA8" s="51">
        <v>14</v>
      </c>
      <c r="AB8" s="51">
        <v>62</v>
      </c>
      <c r="AC8" s="51">
        <v>21</v>
      </c>
      <c r="AD8" s="51">
        <f t="shared" si="3"/>
        <v>83</v>
      </c>
      <c r="AE8" s="51">
        <v>2</v>
      </c>
      <c r="AF8" s="51" t="str">
        <f>LOOKUP(AD8,{0,40,45,50,55,60,65,70,75,80,100},{"F","C-","C","C+","B-","B","B+","A-","A","A+","Invalid Entry"})</f>
        <v>A+</v>
      </c>
      <c r="AG8" s="51">
        <f>LOOKUP(AD8,{0,40,45,50,55,60,65,70,75,80,100},{0,2,2.25,2.5,2.75,3,3.25,3.5,3.75,4,"Invalid Entry"})</f>
        <v>4</v>
      </c>
      <c r="AH8" s="45"/>
      <c r="AI8" s="51">
        <f t="shared" si="5"/>
        <v>13</v>
      </c>
      <c r="AJ8" s="51">
        <f t="shared" si="4"/>
        <v>3.85</v>
      </c>
      <c r="AK8" s="51" t="str">
        <f>LOOKUP(AJ8,{0,2,2.25,2.5,2.75,3,3.25,3.5,3.75,4},{"F","C-","C","C+","B-","B","B+","A-","A","A+"})</f>
        <v>A</v>
      </c>
    </row>
    <row r="9" spans="1:37">
      <c r="A9" s="51">
        <v>7</v>
      </c>
      <c r="B9" s="51">
        <v>2011236007</v>
      </c>
      <c r="C9" s="51">
        <v>10</v>
      </c>
      <c r="D9" s="51">
        <v>62</v>
      </c>
      <c r="E9" s="51">
        <v>31</v>
      </c>
      <c r="F9" s="51">
        <f t="shared" si="0"/>
        <v>82</v>
      </c>
      <c r="G9" s="51">
        <v>4</v>
      </c>
      <c r="H9" s="51" t="str">
        <f>LOOKUP(F9,{0,40,45,50,55,60,65,70,75,80,100},{"F","C-","C","C+","B-","B","B+","A-","A","A+","Invalid Entry"})</f>
        <v>A+</v>
      </c>
      <c r="I9" s="51">
        <f>LOOKUP(F9,{0,40,45,50,55,60,65,70,75,80,100},{0,2,2.25,2.5,2.75,3,3.25,3.5,3.75,4,"Invalid Entry"})</f>
        <v>4</v>
      </c>
      <c r="J9" s="48"/>
      <c r="K9" s="51">
        <v>18</v>
      </c>
      <c r="L9" s="51">
        <v>59</v>
      </c>
      <c r="M9" s="51">
        <v>31</v>
      </c>
      <c r="N9" s="51">
        <f t="shared" si="1"/>
        <v>87</v>
      </c>
      <c r="O9" s="51">
        <v>3</v>
      </c>
      <c r="P9" s="51" t="str">
        <f>LOOKUP(N9,{0,40,45,50,55,60,65,70,75,80,100},{"F","C-","C","C+","B-","B","B+","A-","A","A+","Invalid Entry"})</f>
        <v>A+</v>
      </c>
      <c r="Q9" s="51">
        <f>LOOKUP(N9,{0,40,45,50,55,60,65,70,75,80,100},{0,2,2.25,2.5,2.75,3,3.25,3.5,3.75,4,"Invalid Entry"})</f>
        <v>4</v>
      </c>
      <c r="R9" s="48"/>
      <c r="S9" s="51">
        <v>20</v>
      </c>
      <c r="T9" s="51">
        <v>49</v>
      </c>
      <c r="U9" s="51">
        <v>31</v>
      </c>
      <c r="V9" s="51">
        <f t="shared" si="2"/>
        <v>79</v>
      </c>
      <c r="W9" s="51">
        <v>4</v>
      </c>
      <c r="X9" s="51" t="str">
        <f>LOOKUP(V9,{0,40,45,50,55,60,65,70,75,80,100},{"F","C-","C","C+","B-","B","B+","A-","A","A+","Invalid Entry"})</f>
        <v>A</v>
      </c>
      <c r="Y9" s="51">
        <f>LOOKUP(V9,{0,40,45,50,55,60,65,70,75,80,100},{0,2,2.25,2.5,2.75,3,3.25,3.5,3.75,4,"Invalid Entry"})</f>
        <v>3.75</v>
      </c>
      <c r="Z9" s="48"/>
      <c r="AA9" s="51">
        <v>5</v>
      </c>
      <c r="AB9" s="51">
        <v>54</v>
      </c>
      <c r="AC9" s="51">
        <v>31</v>
      </c>
      <c r="AD9" s="51">
        <f t="shared" si="3"/>
        <v>69</v>
      </c>
      <c r="AE9" s="51">
        <v>2</v>
      </c>
      <c r="AF9" s="51" t="str">
        <f>LOOKUP(AD9,{0,40,45,50,55,60,65,70,75,80,100},{"F","C-","C","C+","B-","B","B+","A-","A","A+","Invalid Entry"})</f>
        <v>B+</v>
      </c>
      <c r="AG9" s="51">
        <f>LOOKUP(AD9,{0,40,45,50,55,60,65,70,75,80,100},{0,2,2.25,2.5,2.75,3,3.25,3.5,3.75,4,"Invalid Entry"})</f>
        <v>3.25</v>
      </c>
      <c r="AH9" s="45"/>
      <c r="AI9" s="51">
        <f t="shared" si="5"/>
        <v>13</v>
      </c>
      <c r="AJ9" s="51">
        <f t="shared" si="4"/>
        <v>3.81</v>
      </c>
      <c r="AK9" s="51" t="str">
        <f>LOOKUP(AJ9,{0,2,2.25,2.5,2.75,3,3.25,3.5,3.75,4},{"F","C-","C","C+","B-","B","B+","A-","A","A+"})</f>
        <v>A</v>
      </c>
    </row>
    <row r="10" spans="1:37">
      <c r="A10" s="51">
        <v>8</v>
      </c>
      <c r="B10" s="51">
        <v>2011236008</v>
      </c>
      <c r="C10" s="51">
        <v>18</v>
      </c>
      <c r="D10" s="51">
        <v>68</v>
      </c>
      <c r="E10" s="51">
        <v>30</v>
      </c>
      <c r="F10" s="51">
        <f t="shared" si="0"/>
        <v>96</v>
      </c>
      <c r="G10" s="51">
        <v>4</v>
      </c>
      <c r="H10" s="51" t="str">
        <f>LOOKUP(F10,{0,40,45,50,55,60,65,70,75,80,100},{"F","C-","C","C+","B-","B","B+","A-","A","A+","Invalid Entry"})</f>
        <v>A+</v>
      </c>
      <c r="I10" s="51">
        <f>LOOKUP(F10,{0,40,45,50,55,60,65,70,75,80,100},{0,2,2.25,2.5,2.75,3,3.25,3.5,3.75,4,"Invalid Entry"})</f>
        <v>4</v>
      </c>
      <c r="J10" s="48"/>
      <c r="K10" s="51">
        <v>15</v>
      </c>
      <c r="L10" s="51">
        <v>49</v>
      </c>
      <c r="M10" s="51">
        <v>30</v>
      </c>
      <c r="N10" s="51">
        <f t="shared" si="1"/>
        <v>74</v>
      </c>
      <c r="O10" s="51">
        <v>3</v>
      </c>
      <c r="P10" s="51" t="str">
        <f>LOOKUP(N10,{0,40,45,50,55,60,65,70,75,80,100},{"F","C-","C","C+","B-","B","B+","A-","A","A+","Invalid Entry"})</f>
        <v>A-</v>
      </c>
      <c r="Q10" s="51">
        <f>LOOKUP(N10,{0,40,45,50,55,60,65,70,75,80,100},{0,2,2.25,2.5,2.75,3,3.25,3.5,3.75,4,"Invalid Entry"})</f>
        <v>3.5</v>
      </c>
      <c r="R10" s="48"/>
      <c r="S10" s="51">
        <v>17</v>
      </c>
      <c r="T10" s="51">
        <v>70</v>
      </c>
      <c r="U10" s="51">
        <v>30</v>
      </c>
      <c r="V10" s="51">
        <f t="shared" si="2"/>
        <v>97</v>
      </c>
      <c r="W10" s="51">
        <v>4</v>
      </c>
      <c r="X10" s="51" t="str">
        <f>LOOKUP(V10,{0,40,45,50,55,60,65,70,75,80,100},{"F","C-","C","C+","B-","B","B+","A-","A","A+","Invalid Entry"})</f>
        <v>A+</v>
      </c>
      <c r="Y10" s="51">
        <f>LOOKUP(V10,{0,40,45,50,55,60,65,70,75,80,100},{0,2,2.25,2.5,2.75,3,3.25,3.5,3.75,4,"Invalid Entry"})</f>
        <v>4</v>
      </c>
      <c r="Z10" s="48"/>
      <c r="AA10" s="51">
        <v>7</v>
      </c>
      <c r="AB10" s="51">
        <v>51</v>
      </c>
      <c r="AC10" s="51">
        <v>30</v>
      </c>
      <c r="AD10" s="51">
        <f t="shared" si="3"/>
        <v>68</v>
      </c>
      <c r="AE10" s="51">
        <v>2</v>
      </c>
      <c r="AF10" s="51" t="str">
        <f>LOOKUP(AD10,{0,40,45,50,55,60,65,70,75,80,100},{"F","C-","C","C+","B-","B","B+","A-","A","A+","Invalid Entry"})</f>
        <v>B+</v>
      </c>
      <c r="AG10" s="51">
        <f>LOOKUP(AD10,{0,40,45,50,55,60,65,70,75,80,100},{0,2,2.25,2.5,2.75,3,3.25,3.5,3.75,4,"Invalid Entry"})</f>
        <v>3.25</v>
      </c>
      <c r="AH10" s="45"/>
      <c r="AI10" s="51">
        <f t="shared" si="5"/>
        <v>13</v>
      </c>
      <c r="AJ10" s="51">
        <f t="shared" si="4"/>
        <v>3.77</v>
      </c>
      <c r="AK10" s="51" t="str">
        <f>LOOKUP(AJ10,{0,2,2.25,2.5,2.75,3,3.25,3.5,3.75,4},{"F","C-","C","C+","B-","B","B+","A-","A","A+"})</f>
        <v>A</v>
      </c>
    </row>
    <row r="11" spans="1:37">
      <c r="A11" s="51">
        <v>9</v>
      </c>
      <c r="B11" s="51">
        <v>2011236009</v>
      </c>
      <c r="C11" s="51">
        <v>9</v>
      </c>
      <c r="D11" s="51">
        <v>40</v>
      </c>
      <c r="E11" s="51">
        <v>33</v>
      </c>
      <c r="F11" s="51">
        <f t="shared" si="0"/>
        <v>59</v>
      </c>
      <c r="G11" s="51">
        <v>4</v>
      </c>
      <c r="H11" s="51" t="str">
        <f>LOOKUP(F11,{0,40,45,50,55,60,65,70,75,80,100},{"F","C-","C","C+","B-","B","B+","A-","A","A+","Invalid Entry"})</f>
        <v>B-</v>
      </c>
      <c r="I11" s="51">
        <f>LOOKUP(F11,{0,40,45,50,55,60,65,70,75,80,100},{0,2,2.25,2.5,2.75,3,3.25,3.5,3.75,4,"Invalid Entry"})</f>
        <v>2.75</v>
      </c>
      <c r="J11" s="48"/>
      <c r="K11" s="51">
        <v>12</v>
      </c>
      <c r="L11" s="51">
        <v>50</v>
      </c>
      <c r="M11" s="51">
        <v>33</v>
      </c>
      <c r="N11" s="51">
        <f t="shared" si="1"/>
        <v>72</v>
      </c>
      <c r="O11" s="51">
        <v>3</v>
      </c>
      <c r="P11" s="51" t="str">
        <f>LOOKUP(N11,{0,40,45,50,55,60,65,70,75,80,100},{"F","C-","C","C+","B-","B","B+","A-","A","A+","Invalid Entry"})</f>
        <v>A-</v>
      </c>
      <c r="Q11" s="51">
        <f>LOOKUP(N11,{0,40,45,50,55,60,65,70,75,80,100},{0,2,2.25,2.5,2.75,3,3.25,3.5,3.75,4,"Invalid Entry"})</f>
        <v>3.5</v>
      </c>
      <c r="R11" s="48"/>
      <c r="S11" s="51">
        <v>13</v>
      </c>
      <c r="T11" s="51">
        <v>70</v>
      </c>
      <c r="U11" s="51">
        <v>33</v>
      </c>
      <c r="V11" s="51">
        <f t="shared" si="2"/>
        <v>93</v>
      </c>
      <c r="W11" s="51">
        <v>4</v>
      </c>
      <c r="X11" s="51" t="str">
        <f>LOOKUP(V11,{0,40,45,50,55,60,65,70,75,80,100},{"F","C-","C","C+","B-","B","B+","A-","A","A+","Invalid Entry"})</f>
        <v>A+</v>
      </c>
      <c r="Y11" s="51">
        <f>LOOKUP(V11,{0,40,45,50,55,60,65,70,75,80,100},{0,2,2.25,2.5,2.75,3,3.25,3.5,3.75,4,"Invalid Entry"})</f>
        <v>4</v>
      </c>
      <c r="Z11" s="48"/>
      <c r="AA11" s="51">
        <v>14</v>
      </c>
      <c r="AB11" s="51">
        <v>54</v>
      </c>
      <c r="AC11" s="51">
        <v>33</v>
      </c>
      <c r="AD11" s="51">
        <f t="shared" si="3"/>
        <v>78</v>
      </c>
      <c r="AE11" s="51">
        <v>2</v>
      </c>
      <c r="AF11" s="51" t="str">
        <f>LOOKUP(AD11,{0,40,45,50,55,60,65,70,75,80,100},{"F","C-","C","C+","B-","B","B+","A-","A","A+","Invalid Entry"})</f>
        <v>A</v>
      </c>
      <c r="AG11" s="51">
        <f>LOOKUP(AD11,{0,40,45,50,55,60,65,70,75,80,100},{0,2,2.25,2.5,2.75,3,3.25,3.5,3.75,4,"Invalid Entry"})</f>
        <v>3.75</v>
      </c>
      <c r="AH11" s="45"/>
      <c r="AI11" s="51">
        <f t="shared" si="5"/>
        <v>13</v>
      </c>
      <c r="AJ11" s="51">
        <f t="shared" si="4"/>
        <v>3.46</v>
      </c>
      <c r="AK11" s="51" t="str">
        <f>LOOKUP(AJ11,{0,2,2.25,2.5,2.75,3,3.25,3.5,3.75,4},{"F","C-","C","C+","B-","B","B+","A-","A","A+"})</f>
        <v>B+</v>
      </c>
    </row>
    <row r="12" spans="1:37">
      <c r="A12" s="51">
        <v>10</v>
      </c>
      <c r="B12" s="51">
        <v>2011236010</v>
      </c>
      <c r="C12" s="51">
        <v>16</v>
      </c>
      <c r="D12" s="51">
        <v>63</v>
      </c>
      <c r="E12" s="51">
        <v>24</v>
      </c>
      <c r="F12" s="51">
        <f t="shared" si="0"/>
        <v>87</v>
      </c>
      <c r="G12" s="51">
        <v>4</v>
      </c>
      <c r="H12" s="51" t="str">
        <f>LOOKUP(F12,{0,40,45,50,55,60,65,70,75,80,100},{"F","C-","C","C+","B-","B","B+","A-","A","A+","Invalid Entry"})</f>
        <v>A+</v>
      </c>
      <c r="I12" s="51">
        <f>LOOKUP(F12,{0,40,45,50,55,60,65,70,75,80,100},{0,2,2.25,2.5,2.75,3,3.25,3.5,3.75,4,"Invalid Entry"})</f>
        <v>4</v>
      </c>
      <c r="J12" s="48"/>
      <c r="K12" s="51">
        <v>10</v>
      </c>
      <c r="L12" s="51">
        <v>46</v>
      </c>
      <c r="M12" s="51">
        <v>24</v>
      </c>
      <c r="N12" s="51">
        <f t="shared" si="1"/>
        <v>64</v>
      </c>
      <c r="O12" s="51">
        <v>3</v>
      </c>
      <c r="P12" s="51" t="str">
        <f>LOOKUP(N12,{0,40,45,50,55,60,65,70,75,80,100},{"F","C-","C","C+","B-","B","B+","A-","A","A+","Invalid Entry"})</f>
        <v>B</v>
      </c>
      <c r="Q12" s="51">
        <f>LOOKUP(N12,{0,40,45,50,55,60,65,70,75,80,100},{0,2,2.25,2.5,2.75,3,3.25,3.5,3.75,4,"Invalid Entry"})</f>
        <v>3</v>
      </c>
      <c r="R12" s="48"/>
      <c r="S12" s="51">
        <v>15</v>
      </c>
      <c r="T12" s="51">
        <v>45</v>
      </c>
      <c r="U12" s="51">
        <v>24</v>
      </c>
      <c r="V12" s="51">
        <f t="shared" si="2"/>
        <v>68</v>
      </c>
      <c r="W12" s="51">
        <v>4</v>
      </c>
      <c r="X12" s="51" t="str">
        <f>LOOKUP(V12,{0,40,45,50,55,60,65,70,75,80,100},{"F","C-","C","C+","B-","B","B+","A-","A","A+","Invalid Entry"})</f>
        <v>B+</v>
      </c>
      <c r="Y12" s="51">
        <f>LOOKUP(V12,{0,40,45,50,55,60,65,70,75,80,100},{0,2,2.25,2.5,2.75,3,3.25,3.5,3.75,4,"Invalid Entry"})</f>
        <v>3.25</v>
      </c>
      <c r="Z12" s="48"/>
      <c r="AA12" s="51">
        <v>10</v>
      </c>
      <c r="AB12" s="51">
        <v>70</v>
      </c>
      <c r="AC12" s="51">
        <v>24</v>
      </c>
      <c r="AD12" s="51">
        <f t="shared" si="3"/>
        <v>88</v>
      </c>
      <c r="AE12" s="51">
        <v>2</v>
      </c>
      <c r="AF12" s="51" t="str">
        <f>LOOKUP(AD12,{0,40,45,50,55,60,65,70,75,80,100},{"F","C-","C","C+","B-","B","B+","A-","A","A+","Invalid Entry"})</f>
        <v>A+</v>
      </c>
      <c r="AG12" s="51">
        <f>LOOKUP(AD12,{0,40,45,50,55,60,65,70,75,80,100},{0,2,2.25,2.5,2.75,3,3.25,3.5,3.75,4,"Invalid Entry"})</f>
        <v>4</v>
      </c>
      <c r="AH12" s="45"/>
      <c r="AI12" s="51">
        <f t="shared" si="5"/>
        <v>13</v>
      </c>
      <c r="AJ12" s="51">
        <f t="shared" si="4"/>
        <v>3.54</v>
      </c>
      <c r="AK12" s="51" t="str">
        <f>LOOKUP(AJ12,{0,2,2.25,2.5,2.75,3,3.25,3.5,3.75,4},{"F","C-","C","C+","B-","B","B+","A-","A","A+"})</f>
        <v>A-</v>
      </c>
    </row>
    <row r="13" spans="1:37">
      <c r="A13" s="51">
        <v>11</v>
      </c>
      <c r="B13" s="51">
        <v>2011236011</v>
      </c>
      <c r="C13" s="51">
        <v>16</v>
      </c>
      <c r="D13" s="51">
        <v>45</v>
      </c>
      <c r="E13" s="51">
        <v>31</v>
      </c>
      <c r="F13" s="51">
        <f t="shared" si="0"/>
        <v>71</v>
      </c>
      <c r="G13" s="51">
        <v>4</v>
      </c>
      <c r="H13" s="51" t="str">
        <f>LOOKUP(F13,{0,40,45,50,55,60,65,70,75,80,100},{"F","C-","C","C+","B-","B","B+","A-","A","A+","Invalid Entry"})</f>
        <v>A-</v>
      </c>
      <c r="I13" s="51">
        <f>LOOKUP(F13,{0,40,45,50,55,60,65,70,75,80,100},{0,2,2.25,2.5,2.75,3,3.25,3.5,3.75,4,"Invalid Entry"})</f>
        <v>3.5</v>
      </c>
      <c r="J13" s="48"/>
      <c r="K13" s="51">
        <v>15</v>
      </c>
      <c r="L13" s="51">
        <v>57</v>
      </c>
      <c r="M13" s="51">
        <v>31</v>
      </c>
      <c r="N13" s="51">
        <f t="shared" si="1"/>
        <v>82</v>
      </c>
      <c r="O13" s="51">
        <v>3</v>
      </c>
      <c r="P13" s="51" t="str">
        <f>LOOKUP(N13,{0,40,45,50,55,60,65,70,75,80,100},{"F","C-","C","C+","B-","B","B+","A-","A","A+","Invalid Entry"})</f>
        <v>A+</v>
      </c>
      <c r="Q13" s="51">
        <f>LOOKUP(N13,{0,40,45,50,55,60,65,70,75,80,100},{0,2,2.25,2.5,2.75,3,3.25,3.5,3.75,4,"Invalid Entry"})</f>
        <v>4</v>
      </c>
      <c r="R13" s="48"/>
      <c r="S13" s="51">
        <v>20</v>
      </c>
      <c r="T13" s="51">
        <v>62</v>
      </c>
      <c r="U13" s="51">
        <v>31</v>
      </c>
      <c r="V13" s="51">
        <f t="shared" si="2"/>
        <v>92</v>
      </c>
      <c r="W13" s="51">
        <v>4</v>
      </c>
      <c r="X13" s="51" t="str">
        <f>LOOKUP(V13,{0,40,45,50,55,60,65,70,75,80,100},{"F","C-","C","C+","B-","B","B+","A-","A","A+","Invalid Entry"})</f>
        <v>A+</v>
      </c>
      <c r="Y13" s="51">
        <f>LOOKUP(V13,{0,40,45,50,55,60,65,70,75,80,100},{0,2,2.25,2.5,2.75,3,3.25,3.5,3.75,4,"Invalid Entry"})</f>
        <v>4</v>
      </c>
      <c r="Z13" s="48"/>
      <c r="AA13" s="51">
        <v>13</v>
      </c>
      <c r="AB13" s="51">
        <v>66</v>
      </c>
      <c r="AC13" s="51">
        <v>31</v>
      </c>
      <c r="AD13" s="51">
        <f t="shared" si="3"/>
        <v>89</v>
      </c>
      <c r="AE13" s="51">
        <v>2</v>
      </c>
      <c r="AF13" s="51" t="str">
        <f>LOOKUP(AD13,{0,40,45,50,55,60,65,70,75,80,100},{"F","C-","C","C+","B-","B","B+","A-","A","A+","Invalid Entry"})</f>
        <v>A+</v>
      </c>
      <c r="AG13" s="51">
        <f>LOOKUP(AD13,{0,40,45,50,55,60,65,70,75,80,100},{0,2,2.25,2.5,2.75,3,3.25,3.5,3.75,4,"Invalid Entry"})</f>
        <v>4</v>
      </c>
      <c r="AH13" s="45"/>
      <c r="AI13" s="51">
        <f t="shared" si="5"/>
        <v>13</v>
      </c>
      <c r="AJ13" s="51">
        <f t="shared" si="4"/>
        <v>3.85</v>
      </c>
      <c r="AK13" s="51" t="str">
        <f>LOOKUP(AJ13,{0,2,2.25,2.5,2.75,3,3.25,3.5,3.75,4},{"F","C-","C","C+","B-","B","B+","A-","A","A+"})</f>
        <v>A</v>
      </c>
    </row>
    <row r="14" spans="1:37">
      <c r="A14" s="51">
        <v>12</v>
      </c>
      <c r="B14" s="51">
        <v>2011236012</v>
      </c>
      <c r="C14" s="51">
        <v>19</v>
      </c>
      <c r="D14" s="51">
        <v>55</v>
      </c>
      <c r="E14" s="51">
        <v>29</v>
      </c>
      <c r="F14" s="51">
        <f t="shared" si="0"/>
        <v>83</v>
      </c>
      <c r="G14" s="51">
        <v>4</v>
      </c>
      <c r="H14" s="51" t="str">
        <f>LOOKUP(F14,{0,40,45,50,55,60,65,70,75,80,100},{"F","C-","C","C+","B-","B","B+","A-","A","A+","Invalid Entry"})</f>
        <v>A+</v>
      </c>
      <c r="I14" s="51">
        <f>LOOKUP(F14,{0,40,45,50,55,60,65,70,75,80,100},{0,2,2.25,2.5,2.75,3,3.25,3.5,3.75,4,"Invalid Entry"})</f>
        <v>4</v>
      </c>
      <c r="J14" s="48"/>
      <c r="K14" s="51">
        <v>12</v>
      </c>
      <c r="L14" s="51">
        <v>65</v>
      </c>
      <c r="M14" s="51">
        <v>29</v>
      </c>
      <c r="N14" s="51">
        <f t="shared" si="1"/>
        <v>86</v>
      </c>
      <c r="O14" s="51">
        <v>3</v>
      </c>
      <c r="P14" s="51" t="str">
        <f>LOOKUP(N14,{0,40,45,50,55,60,65,70,75,80,100},{"F","C-","C","C+","B-","B","B+","A-","A","A+","Invalid Entry"})</f>
        <v>A+</v>
      </c>
      <c r="Q14" s="51">
        <f>LOOKUP(N14,{0,40,45,50,55,60,65,70,75,80,100},{0,2,2.25,2.5,2.75,3,3.25,3.5,3.75,4,"Invalid Entry"})</f>
        <v>4</v>
      </c>
      <c r="R14" s="48"/>
      <c r="S14" s="51">
        <v>12</v>
      </c>
      <c r="T14" s="51">
        <v>66</v>
      </c>
      <c r="U14" s="51">
        <v>29</v>
      </c>
      <c r="V14" s="51">
        <f t="shared" si="2"/>
        <v>87</v>
      </c>
      <c r="W14" s="51">
        <v>4</v>
      </c>
      <c r="X14" s="51" t="str">
        <f>LOOKUP(V14,{0,40,45,50,55,60,65,70,75,80,100},{"F","C-","C","C+","B-","B","B+","A-","A","A+","Invalid Entry"})</f>
        <v>A+</v>
      </c>
      <c r="Y14" s="51">
        <f>LOOKUP(V14,{0,40,45,50,55,60,65,70,75,80,100},{0,2,2.25,2.5,2.75,3,3.25,3.5,3.75,4,"Invalid Entry"})</f>
        <v>4</v>
      </c>
      <c r="Z14" s="48"/>
      <c r="AA14" s="51">
        <v>12</v>
      </c>
      <c r="AB14" s="51">
        <v>66</v>
      </c>
      <c r="AC14" s="51">
        <v>29</v>
      </c>
      <c r="AD14" s="51">
        <f t="shared" si="3"/>
        <v>87</v>
      </c>
      <c r="AE14" s="51">
        <v>2</v>
      </c>
      <c r="AF14" s="51" t="str">
        <f>LOOKUP(AD14,{0,40,45,50,55,60,65,70,75,80,100},{"F","C-","C","C+","B-","B","B+","A-","A","A+","Invalid Entry"})</f>
        <v>A+</v>
      </c>
      <c r="AG14" s="51">
        <f>LOOKUP(AD14,{0,40,45,50,55,60,65,70,75,80,100},{0,2,2.25,2.5,2.75,3,3.25,3.5,3.75,4,"Invalid Entry"})</f>
        <v>4</v>
      </c>
      <c r="AH14" s="45"/>
      <c r="AI14" s="51">
        <f t="shared" si="5"/>
        <v>13</v>
      </c>
      <c r="AJ14" s="51">
        <f t="shared" si="4"/>
        <v>4</v>
      </c>
      <c r="AK14" s="51" t="str">
        <f>LOOKUP(AJ14,{0,2,2.25,2.5,2.75,3,3.25,3.5,3.75,4},{"F","C-","C","C+","B-","B","B+","A-","A","A+"})</f>
        <v>A+</v>
      </c>
    </row>
    <row r="15" spans="1:37">
      <c r="A15" s="51">
        <v>13</v>
      </c>
      <c r="B15" s="51">
        <v>2011236013</v>
      </c>
      <c r="C15" s="51">
        <v>11</v>
      </c>
      <c r="D15" s="51">
        <v>69</v>
      </c>
      <c r="E15" s="51">
        <v>23</v>
      </c>
      <c r="F15" s="51">
        <f t="shared" si="0"/>
        <v>87</v>
      </c>
      <c r="G15" s="51">
        <v>4</v>
      </c>
      <c r="H15" s="51" t="str">
        <f>LOOKUP(F15,{0,40,45,50,55,60,65,70,75,80,100},{"F","C-","C","C+","B-","B","B+","A-","A","A+","Invalid Entry"})</f>
        <v>A+</v>
      </c>
      <c r="I15" s="51">
        <f>LOOKUP(F15,{0,40,45,50,55,60,65,70,75,80,100},{0,2,2.25,2.5,2.75,3,3.25,3.5,3.75,4,"Invalid Entry"})</f>
        <v>4</v>
      </c>
      <c r="J15" s="48"/>
      <c r="K15" s="51">
        <v>14</v>
      </c>
      <c r="L15" s="51">
        <v>46</v>
      </c>
      <c r="M15" s="51">
        <v>23</v>
      </c>
      <c r="N15" s="51">
        <f t="shared" si="1"/>
        <v>67</v>
      </c>
      <c r="O15" s="51">
        <v>3</v>
      </c>
      <c r="P15" s="51" t="str">
        <f>LOOKUP(N15,{0,40,45,50,55,60,65,70,75,80,100},{"F","C-","C","C+","B-","B","B+","A-","A","A+","Invalid Entry"})</f>
        <v>B+</v>
      </c>
      <c r="Q15" s="51">
        <f>LOOKUP(N15,{0,40,45,50,55,60,65,70,75,80,100},{0,2,2.25,2.5,2.75,3,3.25,3.5,3.75,4,"Invalid Entry"})</f>
        <v>3.25</v>
      </c>
      <c r="R15" s="48"/>
      <c r="S15" s="51">
        <v>19</v>
      </c>
      <c r="T15" s="51">
        <v>67</v>
      </c>
      <c r="U15" s="51">
        <v>23</v>
      </c>
      <c r="V15" s="51">
        <f t="shared" si="2"/>
        <v>93</v>
      </c>
      <c r="W15" s="51">
        <v>4</v>
      </c>
      <c r="X15" s="51" t="str">
        <f>LOOKUP(V15,{0,40,45,50,55,60,65,70,75,80,100},{"F","C-","C","C+","B-","B","B+","A-","A","A+","Invalid Entry"})</f>
        <v>A+</v>
      </c>
      <c r="Y15" s="51">
        <f>LOOKUP(V15,{0,40,45,50,55,60,65,70,75,80,100},{0,2,2.25,2.5,2.75,3,3.25,3.5,3.75,4,"Invalid Entry"})</f>
        <v>4</v>
      </c>
      <c r="Z15" s="48"/>
      <c r="AA15" s="51">
        <v>11</v>
      </c>
      <c r="AB15" s="51">
        <v>66</v>
      </c>
      <c r="AC15" s="51">
        <v>23</v>
      </c>
      <c r="AD15" s="51">
        <f t="shared" si="3"/>
        <v>84</v>
      </c>
      <c r="AE15" s="51">
        <v>2</v>
      </c>
      <c r="AF15" s="51" t="str">
        <f>LOOKUP(AD15,{0,40,45,50,55,60,65,70,75,80,100},{"F","C-","C","C+","B-","B","B+","A-","A","A+","Invalid Entry"})</f>
        <v>A+</v>
      </c>
      <c r="AG15" s="51">
        <f>LOOKUP(AD15,{0,40,45,50,55,60,65,70,75,80,100},{0,2,2.25,2.5,2.75,3,3.25,3.5,3.75,4,"Invalid Entry"})</f>
        <v>4</v>
      </c>
      <c r="AH15" s="45"/>
      <c r="AI15" s="51">
        <f t="shared" si="5"/>
        <v>13</v>
      </c>
      <c r="AJ15" s="51">
        <f t="shared" si="4"/>
        <v>3.83</v>
      </c>
      <c r="AK15" s="51" t="str">
        <f>LOOKUP(AJ15,{0,2,2.25,2.5,2.75,3,3.25,3.5,3.75,4},{"F","C-","C","C+","B-","B","B+","A-","A","A+"})</f>
        <v>A</v>
      </c>
    </row>
    <row r="16" spans="1:37">
      <c r="A16" s="51">
        <v>14</v>
      </c>
      <c r="B16" s="51">
        <v>2011236014</v>
      </c>
      <c r="C16" s="51">
        <v>7</v>
      </c>
      <c r="D16" s="51">
        <v>67</v>
      </c>
      <c r="E16" s="51">
        <v>31</v>
      </c>
      <c r="F16" s="51">
        <f t="shared" si="0"/>
        <v>84</v>
      </c>
      <c r="G16" s="51">
        <v>4</v>
      </c>
      <c r="H16" s="51" t="str">
        <f>LOOKUP(F16,{0,40,45,50,55,60,65,70,75,80,100},{"F","C-","C","C+","B-","B","B+","A-","A","A+","Invalid Entry"})</f>
        <v>A+</v>
      </c>
      <c r="I16" s="51">
        <f>LOOKUP(F16,{0,40,45,50,55,60,65,70,75,80,100},{0,2,2.25,2.5,2.75,3,3.25,3.5,3.75,4,"Invalid Entry"})</f>
        <v>4</v>
      </c>
      <c r="J16" s="48"/>
      <c r="K16" s="51">
        <v>17</v>
      </c>
      <c r="L16" s="51">
        <v>61</v>
      </c>
      <c r="M16" s="51">
        <v>31</v>
      </c>
      <c r="N16" s="51">
        <f t="shared" si="1"/>
        <v>88</v>
      </c>
      <c r="O16" s="51">
        <v>3</v>
      </c>
      <c r="P16" s="51" t="str">
        <f>LOOKUP(N16,{0,40,45,50,55,60,65,70,75,80,100},{"F","C-","C","C+","B-","B","B+","A-","A","A+","Invalid Entry"})</f>
        <v>A+</v>
      </c>
      <c r="Q16" s="51">
        <f>LOOKUP(N16,{0,40,45,50,55,60,65,70,75,80,100},{0,2,2.25,2.5,2.75,3,3.25,3.5,3.75,4,"Invalid Entry"})</f>
        <v>4</v>
      </c>
      <c r="R16" s="48"/>
      <c r="S16" s="51">
        <v>11</v>
      </c>
      <c r="T16" s="51">
        <v>56</v>
      </c>
      <c r="U16" s="51">
        <v>31</v>
      </c>
      <c r="V16" s="51">
        <f t="shared" si="2"/>
        <v>77</v>
      </c>
      <c r="W16" s="51">
        <v>4</v>
      </c>
      <c r="X16" s="51" t="str">
        <f>LOOKUP(V16,{0,40,45,50,55,60,65,70,75,80,100},{"F","C-","C","C+","B-","B","B+","A-","A","A+","Invalid Entry"})</f>
        <v>A</v>
      </c>
      <c r="Y16" s="51">
        <f>LOOKUP(V16,{0,40,45,50,55,60,65,70,75,80,100},{0,2,2.25,2.5,2.75,3,3.25,3.5,3.75,4,"Invalid Entry"})</f>
        <v>3.75</v>
      </c>
      <c r="Z16" s="48"/>
      <c r="AA16" s="51">
        <v>12</v>
      </c>
      <c r="AB16" s="51">
        <v>50</v>
      </c>
      <c r="AC16" s="51">
        <v>31</v>
      </c>
      <c r="AD16" s="51">
        <f t="shared" si="3"/>
        <v>72</v>
      </c>
      <c r="AE16" s="51">
        <v>2</v>
      </c>
      <c r="AF16" s="51" t="str">
        <f>LOOKUP(AD16,{0,40,45,50,55,60,65,70,75,80,100},{"F","C-","C","C+","B-","B","B+","A-","A","A+","Invalid Entry"})</f>
        <v>A-</v>
      </c>
      <c r="AG16" s="51">
        <f>LOOKUP(AD16,{0,40,45,50,55,60,65,70,75,80,100},{0,2,2.25,2.5,2.75,3,3.25,3.5,3.75,4,"Invalid Entry"})</f>
        <v>3.5</v>
      </c>
      <c r="AH16" s="45"/>
      <c r="AI16" s="51">
        <f t="shared" si="5"/>
        <v>13</v>
      </c>
      <c r="AJ16" s="51">
        <f t="shared" si="4"/>
        <v>3.85</v>
      </c>
      <c r="AK16" s="51" t="str">
        <f>LOOKUP(AJ16,{0,2,2.25,2.5,2.75,3,3.25,3.5,3.75,4},{"F","C-","C","C+","B-","B","B+","A-","A","A+"})</f>
        <v>A</v>
      </c>
    </row>
    <row r="17" spans="1:37">
      <c r="A17" s="51">
        <v>15</v>
      </c>
      <c r="B17" s="51">
        <v>2011236015</v>
      </c>
      <c r="C17" s="51">
        <v>16</v>
      </c>
      <c r="D17" s="51">
        <v>63</v>
      </c>
      <c r="E17" s="51">
        <v>29</v>
      </c>
      <c r="F17" s="51">
        <f t="shared" si="0"/>
        <v>88</v>
      </c>
      <c r="G17" s="51">
        <v>4</v>
      </c>
      <c r="H17" s="51" t="str">
        <f>LOOKUP(F17,{0,40,45,50,55,60,65,70,75,80,100},{"F","C-","C","C+","B-","B","B+","A-","A","A+","Invalid Entry"})</f>
        <v>A+</v>
      </c>
      <c r="I17" s="51">
        <f>LOOKUP(F17,{0,40,45,50,55,60,65,70,75,80,100},{0,2,2.25,2.5,2.75,3,3.25,3.5,3.75,4,"Invalid Entry"})</f>
        <v>4</v>
      </c>
      <c r="J17" s="48"/>
      <c r="K17" s="51">
        <v>17</v>
      </c>
      <c r="L17" s="51">
        <v>41</v>
      </c>
      <c r="M17" s="51">
        <v>29</v>
      </c>
      <c r="N17" s="51">
        <f t="shared" si="1"/>
        <v>67</v>
      </c>
      <c r="O17" s="51">
        <v>3</v>
      </c>
      <c r="P17" s="51" t="str">
        <f>LOOKUP(N17,{0,40,45,50,55,60,65,70,75,80,100},{"F","C-","C","C+","B-","B","B+","A-","A","A+","Invalid Entry"})</f>
        <v>B+</v>
      </c>
      <c r="Q17" s="51">
        <f>LOOKUP(N17,{0,40,45,50,55,60,65,70,75,80,100},{0,2,2.25,2.5,2.75,3,3.25,3.5,3.75,4,"Invalid Entry"})</f>
        <v>3.25</v>
      </c>
      <c r="R17" s="48"/>
      <c r="S17" s="51">
        <v>20</v>
      </c>
      <c r="T17" s="51">
        <v>69</v>
      </c>
      <c r="U17" s="51">
        <v>29</v>
      </c>
      <c r="V17" s="51">
        <f t="shared" si="2"/>
        <v>98</v>
      </c>
      <c r="W17" s="51">
        <v>4</v>
      </c>
      <c r="X17" s="51" t="str">
        <f>LOOKUP(V17,{0,40,45,50,55,60,65,70,75,80,100},{"F","C-","C","C+","B-","B","B+","A-","A","A+","Invalid Entry"})</f>
        <v>A+</v>
      </c>
      <c r="Y17" s="51">
        <f>LOOKUP(V17,{0,40,45,50,55,60,65,70,75,80,100},{0,2,2.25,2.5,2.75,3,3.25,3.5,3.75,4,"Invalid Entry"})</f>
        <v>4</v>
      </c>
      <c r="Z17" s="48"/>
      <c r="AA17" s="51">
        <v>13</v>
      </c>
      <c r="AB17" s="51">
        <v>62</v>
      </c>
      <c r="AC17" s="51">
        <v>29</v>
      </c>
      <c r="AD17" s="51">
        <f t="shared" si="3"/>
        <v>84</v>
      </c>
      <c r="AE17" s="51">
        <v>2</v>
      </c>
      <c r="AF17" s="51" t="str">
        <f>LOOKUP(AD17,{0,40,45,50,55,60,65,70,75,80,100},{"F","C-","C","C+","B-","B","B+","A-","A","A+","Invalid Entry"})</f>
        <v>A+</v>
      </c>
      <c r="AG17" s="51">
        <f>LOOKUP(AD17,{0,40,45,50,55,60,65,70,75,80,100},{0,2,2.25,2.5,2.75,3,3.25,3.5,3.75,4,"Invalid Entry"})</f>
        <v>4</v>
      </c>
      <c r="AH17" s="45"/>
      <c r="AI17" s="51">
        <f t="shared" si="5"/>
        <v>13</v>
      </c>
      <c r="AJ17" s="51">
        <f t="shared" si="4"/>
        <v>3.83</v>
      </c>
      <c r="AK17" s="51" t="str">
        <f>LOOKUP(AJ17,{0,2,2.25,2.5,2.75,3,3.25,3.5,3.75,4},{"F","C-","C","C+","B-","B","B+","A-","A","A+"})</f>
        <v>A</v>
      </c>
    </row>
    <row r="18" spans="1:37">
      <c r="A18" s="51">
        <v>16</v>
      </c>
      <c r="B18" s="51">
        <v>2011236016</v>
      </c>
      <c r="C18" s="51">
        <v>14</v>
      </c>
      <c r="D18" s="51">
        <v>64</v>
      </c>
      <c r="E18" s="51">
        <v>33</v>
      </c>
      <c r="F18" s="51">
        <f t="shared" si="0"/>
        <v>88</v>
      </c>
      <c r="G18" s="51">
        <v>4</v>
      </c>
      <c r="H18" s="51" t="str">
        <f>LOOKUP(F18,{0,40,45,50,55,60,65,70,75,80,100},{"F","C-","C","C+","B-","B","B+","A-","A","A+","Invalid Entry"})</f>
        <v>A+</v>
      </c>
      <c r="I18" s="51">
        <f>LOOKUP(F18,{0,40,45,50,55,60,65,70,75,80,100},{0,2,2.25,2.5,2.75,3,3.25,3.5,3.75,4,"Invalid Entry"})</f>
        <v>4</v>
      </c>
      <c r="J18" s="48"/>
      <c r="K18" s="51">
        <v>16</v>
      </c>
      <c r="L18" s="51">
        <v>56</v>
      </c>
      <c r="M18" s="51">
        <v>33</v>
      </c>
      <c r="N18" s="51">
        <f t="shared" si="1"/>
        <v>82</v>
      </c>
      <c r="O18" s="51">
        <v>3</v>
      </c>
      <c r="P18" s="51" t="str">
        <f>LOOKUP(N18,{0,40,45,50,55,60,65,70,75,80,100},{"F","C-","C","C+","B-","B","B+","A-","A","A+","Invalid Entry"})</f>
        <v>A+</v>
      </c>
      <c r="Q18" s="51">
        <f>LOOKUP(N18,{0,40,45,50,55,60,65,70,75,80,100},{0,2,2.25,2.5,2.75,3,3.25,3.5,3.75,4,"Invalid Entry"})</f>
        <v>4</v>
      </c>
      <c r="R18" s="48"/>
      <c r="S18" s="51">
        <v>14</v>
      </c>
      <c r="T18" s="51">
        <v>48</v>
      </c>
      <c r="U18" s="51">
        <v>33</v>
      </c>
      <c r="V18" s="51">
        <f t="shared" si="2"/>
        <v>72</v>
      </c>
      <c r="W18" s="51">
        <v>4</v>
      </c>
      <c r="X18" s="51" t="str">
        <f>LOOKUP(V18,{0,40,45,50,55,60,65,70,75,80,100},{"F","C-","C","C+","B-","B","B+","A-","A","A+","Invalid Entry"})</f>
        <v>A-</v>
      </c>
      <c r="Y18" s="51">
        <f>LOOKUP(V18,{0,40,45,50,55,60,65,70,75,80,100},{0,2,2.25,2.5,2.75,3,3.25,3.5,3.75,4,"Invalid Entry"})</f>
        <v>3.5</v>
      </c>
      <c r="Z18" s="48"/>
      <c r="AA18" s="51">
        <v>16</v>
      </c>
      <c r="AB18" s="51">
        <v>45</v>
      </c>
      <c r="AC18" s="51">
        <v>33</v>
      </c>
      <c r="AD18" s="51">
        <f t="shared" si="3"/>
        <v>71</v>
      </c>
      <c r="AE18" s="51">
        <v>2</v>
      </c>
      <c r="AF18" s="51" t="str">
        <f>LOOKUP(AD18,{0,40,45,50,55,60,65,70,75,80,100},{"F","C-","C","C+","B-","B","B+","A-","A","A+","Invalid Entry"})</f>
        <v>A-</v>
      </c>
      <c r="AG18" s="51">
        <f>LOOKUP(AD18,{0,40,45,50,55,60,65,70,75,80,100},{0,2,2.25,2.5,2.75,3,3.25,3.5,3.75,4,"Invalid Entry"})</f>
        <v>3.5</v>
      </c>
      <c r="AH18" s="45"/>
      <c r="AI18" s="51">
        <f t="shared" si="5"/>
        <v>13</v>
      </c>
      <c r="AJ18" s="51">
        <f t="shared" si="4"/>
        <v>3.77</v>
      </c>
      <c r="AK18" s="51" t="str">
        <f>LOOKUP(AJ18,{0,2,2.25,2.5,2.75,3,3.25,3.5,3.75,4},{"F","C-","C","C+","B-","B","B+","A-","A","A+"})</f>
        <v>A</v>
      </c>
    </row>
    <row r="19" spans="1:37">
      <c r="A19" s="51">
        <v>17</v>
      </c>
      <c r="B19" s="51">
        <v>2011236017</v>
      </c>
      <c r="C19" s="51">
        <v>19</v>
      </c>
      <c r="D19" s="51">
        <v>63</v>
      </c>
      <c r="E19" s="51">
        <v>28</v>
      </c>
      <c r="F19" s="51">
        <f t="shared" si="0"/>
        <v>91</v>
      </c>
      <c r="G19" s="51">
        <v>4</v>
      </c>
      <c r="H19" s="51" t="str">
        <f>LOOKUP(F19,{0,40,45,50,55,60,65,70,75,80,100},{"F","C-","C","C+","B-","B","B+","A-","A","A+","Invalid Entry"})</f>
        <v>A+</v>
      </c>
      <c r="I19" s="51">
        <f>LOOKUP(F19,{0,40,45,50,55,60,65,70,75,80,100},{0,2,2.25,2.5,2.75,3,3.25,3.5,3.75,4,"Invalid Entry"})</f>
        <v>4</v>
      </c>
      <c r="J19" s="48"/>
      <c r="K19" s="51">
        <v>12</v>
      </c>
      <c r="L19" s="51">
        <v>55</v>
      </c>
      <c r="M19" s="51">
        <v>28</v>
      </c>
      <c r="N19" s="51">
        <f t="shared" si="1"/>
        <v>76</v>
      </c>
      <c r="O19" s="51">
        <v>3</v>
      </c>
      <c r="P19" s="51" t="str">
        <f>LOOKUP(N19,{0,40,45,50,55,60,65,70,75,80,100},{"F","C-","C","C+","B-","B","B+","A-","A","A+","Invalid Entry"})</f>
        <v>A</v>
      </c>
      <c r="Q19" s="51">
        <f>LOOKUP(N19,{0,40,45,50,55,60,65,70,75,80,100},{0,2,2.25,2.5,2.75,3,3.25,3.5,3.75,4,"Invalid Entry"})</f>
        <v>3.75</v>
      </c>
      <c r="R19" s="48"/>
      <c r="S19" s="51">
        <v>12</v>
      </c>
      <c r="T19" s="51">
        <v>53</v>
      </c>
      <c r="U19" s="51">
        <v>28</v>
      </c>
      <c r="V19" s="51">
        <f t="shared" si="2"/>
        <v>74</v>
      </c>
      <c r="W19" s="51">
        <v>4</v>
      </c>
      <c r="X19" s="51" t="str">
        <f>LOOKUP(V19,{0,40,45,50,55,60,65,70,75,80,100},{"F","C-","C","C+","B-","B","B+","A-","A","A+","Invalid Entry"})</f>
        <v>A-</v>
      </c>
      <c r="Y19" s="51">
        <f>LOOKUP(V19,{0,40,45,50,55,60,65,70,75,80,100},{0,2,2.25,2.5,2.75,3,3.25,3.5,3.75,4,"Invalid Entry"})</f>
        <v>3.5</v>
      </c>
      <c r="Z19" s="48"/>
      <c r="AA19" s="51">
        <v>5</v>
      </c>
      <c r="AB19" s="51">
        <v>65</v>
      </c>
      <c r="AC19" s="51">
        <v>28</v>
      </c>
      <c r="AD19" s="51">
        <f t="shared" si="3"/>
        <v>79</v>
      </c>
      <c r="AE19" s="51">
        <v>2</v>
      </c>
      <c r="AF19" s="51" t="str">
        <f>LOOKUP(AD19,{0,40,45,50,55,60,65,70,75,80,100},{"F","C-","C","C+","B-","B","B+","A-","A","A+","Invalid Entry"})</f>
        <v>A</v>
      </c>
      <c r="AG19" s="51">
        <f>LOOKUP(AD19,{0,40,45,50,55,60,65,70,75,80,100},{0,2,2.25,2.5,2.75,3,3.25,3.5,3.75,4,"Invalid Entry"})</f>
        <v>3.75</v>
      </c>
      <c r="AH19" s="45"/>
      <c r="AI19" s="51">
        <f t="shared" si="5"/>
        <v>13</v>
      </c>
      <c r="AJ19" s="51">
        <f t="shared" si="4"/>
        <v>3.75</v>
      </c>
      <c r="AK19" s="51" t="str">
        <f>LOOKUP(AJ19,{0,2,2.25,2.5,2.75,3,3.25,3.5,3.75,4},{"F","C-","C","C+","B-","B","B+","A-","A","A+"})</f>
        <v>A</v>
      </c>
    </row>
    <row r="20" spans="1:37">
      <c r="A20" s="51">
        <v>18</v>
      </c>
      <c r="B20" s="51">
        <v>2011236018</v>
      </c>
      <c r="C20" s="51">
        <v>10</v>
      </c>
      <c r="D20" s="51">
        <v>46</v>
      </c>
      <c r="E20" s="51">
        <v>29</v>
      </c>
      <c r="F20" s="51">
        <f t="shared" si="0"/>
        <v>65</v>
      </c>
      <c r="G20" s="51">
        <v>4</v>
      </c>
      <c r="H20" s="51" t="str">
        <f>LOOKUP(F20,{0,40,45,50,55,60,65,70,75,80,100},{"F","C-","C","C+","B-","B","B+","A-","A","A+","Invalid Entry"})</f>
        <v>B+</v>
      </c>
      <c r="I20" s="51">
        <f>LOOKUP(F20,{0,40,45,50,55,60,65,70,75,80,100},{0,2,2.25,2.5,2.75,3,3.25,3.5,3.75,4,"Invalid Entry"})</f>
        <v>3.25</v>
      </c>
      <c r="J20" s="48"/>
      <c r="K20" s="51">
        <v>12</v>
      </c>
      <c r="L20" s="51">
        <v>49</v>
      </c>
      <c r="M20" s="51">
        <v>29</v>
      </c>
      <c r="N20" s="51">
        <f t="shared" si="1"/>
        <v>70</v>
      </c>
      <c r="O20" s="51">
        <v>3</v>
      </c>
      <c r="P20" s="51" t="str">
        <f>LOOKUP(N20,{0,40,45,50,55,60,65,70,75,80,100},{"F","C-","C","C+","B-","B","B+","A-","A","A+","Invalid Entry"})</f>
        <v>A-</v>
      </c>
      <c r="Q20" s="51">
        <f>LOOKUP(N20,{0,40,45,50,55,60,65,70,75,80,100},{0,2,2.25,2.5,2.75,3,3.25,3.5,3.75,4,"Invalid Entry"})</f>
        <v>3.5</v>
      </c>
      <c r="R20" s="48"/>
      <c r="S20" s="51">
        <v>14</v>
      </c>
      <c r="T20" s="51">
        <v>50</v>
      </c>
      <c r="U20" s="51">
        <v>29</v>
      </c>
      <c r="V20" s="51">
        <f t="shared" si="2"/>
        <v>73</v>
      </c>
      <c r="W20" s="51">
        <v>4</v>
      </c>
      <c r="X20" s="51" t="str">
        <f>LOOKUP(V20,{0,40,45,50,55,60,65,70,75,80,100},{"F","C-","C","C+","B-","B","B+","A-","A","A+","Invalid Entry"})</f>
        <v>A-</v>
      </c>
      <c r="Y20" s="51">
        <f>LOOKUP(V20,{0,40,45,50,55,60,65,70,75,80,100},{0,2,2.25,2.5,2.75,3,3.25,3.5,3.75,4,"Invalid Entry"})</f>
        <v>3.5</v>
      </c>
      <c r="Z20" s="48"/>
      <c r="AA20" s="51">
        <v>11</v>
      </c>
      <c r="AB20" s="51">
        <v>58</v>
      </c>
      <c r="AC20" s="51">
        <v>29</v>
      </c>
      <c r="AD20" s="51">
        <f t="shared" si="3"/>
        <v>78</v>
      </c>
      <c r="AE20" s="51">
        <v>2</v>
      </c>
      <c r="AF20" s="51" t="str">
        <f>LOOKUP(AD20,{0,40,45,50,55,60,65,70,75,80,100},{"F","C-","C","C+","B-","B","B+","A-","A","A+","Invalid Entry"})</f>
        <v>A</v>
      </c>
      <c r="AG20" s="51">
        <f>LOOKUP(AD20,{0,40,45,50,55,60,65,70,75,80,100},{0,2,2.25,2.5,2.75,3,3.25,3.5,3.75,4,"Invalid Entry"})</f>
        <v>3.75</v>
      </c>
      <c r="AH20" s="45"/>
      <c r="AI20" s="51">
        <f t="shared" si="5"/>
        <v>13</v>
      </c>
      <c r="AJ20" s="51">
        <f t="shared" si="4"/>
        <v>3.46</v>
      </c>
      <c r="AK20" s="51" t="str">
        <f>LOOKUP(AJ20,{0,2,2.25,2.5,2.75,3,3.25,3.5,3.75,4},{"F","C-","C","C+","B-","B","B+","A-","A","A+"})</f>
        <v>B+</v>
      </c>
    </row>
    <row r="21" spans="1:37">
      <c r="A21" s="51">
        <v>19</v>
      </c>
      <c r="B21" s="51">
        <v>2011236019</v>
      </c>
      <c r="C21" s="51">
        <v>6</v>
      </c>
      <c r="D21" s="51">
        <v>52</v>
      </c>
      <c r="E21" s="51">
        <v>25</v>
      </c>
      <c r="F21" s="51">
        <f t="shared" si="0"/>
        <v>66</v>
      </c>
      <c r="G21" s="51">
        <v>4</v>
      </c>
      <c r="H21" s="51" t="str">
        <f>LOOKUP(F21,{0,40,45,50,55,60,65,70,75,80,100},{"F","C-","C","C+","B-","B","B+","A-","A","A+","Invalid Entry"})</f>
        <v>B+</v>
      </c>
      <c r="I21" s="51">
        <f>LOOKUP(F21,{0,40,45,50,55,60,65,70,75,80,100},{0,2,2.25,2.5,2.75,3,3.25,3.5,3.75,4,"Invalid Entry"})</f>
        <v>3.25</v>
      </c>
      <c r="J21" s="48"/>
      <c r="K21" s="51">
        <v>14</v>
      </c>
      <c r="L21" s="51">
        <v>47</v>
      </c>
      <c r="M21" s="51">
        <v>25</v>
      </c>
      <c r="N21" s="51">
        <f t="shared" si="1"/>
        <v>69</v>
      </c>
      <c r="O21" s="51">
        <v>3</v>
      </c>
      <c r="P21" s="51" t="str">
        <f>LOOKUP(N21,{0,40,45,50,55,60,65,70,75,80,100},{"F","C-","C","C+","B-","B","B+","A-","A","A+","Invalid Entry"})</f>
        <v>B+</v>
      </c>
      <c r="Q21" s="51">
        <f>LOOKUP(N21,{0,40,45,50,55,60,65,70,75,80,100},{0,2,2.25,2.5,2.75,3,3.25,3.5,3.75,4,"Invalid Entry"})</f>
        <v>3.25</v>
      </c>
      <c r="R21" s="48"/>
      <c r="S21" s="51">
        <v>19</v>
      </c>
      <c r="T21" s="51">
        <v>57</v>
      </c>
      <c r="U21" s="51">
        <v>25</v>
      </c>
      <c r="V21" s="51">
        <f t="shared" si="2"/>
        <v>84</v>
      </c>
      <c r="W21" s="51">
        <v>4</v>
      </c>
      <c r="X21" s="51" t="str">
        <f>LOOKUP(V21,{0,40,45,50,55,60,65,70,75,80,100},{"F","C-","C","C+","B-","B","B+","A-","A","A+","Invalid Entry"})</f>
        <v>A+</v>
      </c>
      <c r="Y21" s="51">
        <f>LOOKUP(V21,{0,40,45,50,55,60,65,70,75,80,100},{0,2,2.25,2.5,2.75,3,3.25,3.5,3.75,4,"Invalid Entry"})</f>
        <v>4</v>
      </c>
      <c r="Z21" s="48"/>
      <c r="AA21" s="51">
        <v>17</v>
      </c>
      <c r="AB21" s="51">
        <v>65</v>
      </c>
      <c r="AC21" s="51">
        <v>25</v>
      </c>
      <c r="AD21" s="51">
        <f t="shared" si="3"/>
        <v>90</v>
      </c>
      <c r="AE21" s="51">
        <v>2</v>
      </c>
      <c r="AF21" s="51" t="str">
        <f>LOOKUP(AD21,{0,40,45,50,55,60,65,70,75,80,100},{"F","C-","C","C+","B-","B","B+","A-","A","A+","Invalid Entry"})</f>
        <v>A+</v>
      </c>
      <c r="AG21" s="51">
        <f>LOOKUP(AD21,{0,40,45,50,55,60,65,70,75,80,100},{0,2,2.25,2.5,2.75,3,3.25,3.5,3.75,4,"Invalid Entry"})</f>
        <v>4</v>
      </c>
      <c r="AH21" s="45"/>
      <c r="AI21" s="51">
        <f t="shared" si="5"/>
        <v>13</v>
      </c>
      <c r="AJ21" s="51">
        <f t="shared" si="4"/>
        <v>3.6</v>
      </c>
      <c r="AK21" s="51" t="str">
        <f>LOOKUP(AJ21,{0,2,2.25,2.5,2.75,3,3.25,3.5,3.75,4},{"F","C-","C","C+","B-","B","B+","A-","A","A+"})</f>
        <v>A-</v>
      </c>
    </row>
    <row r="22" spans="1:37">
      <c r="A22" s="51">
        <v>20</v>
      </c>
      <c r="B22" s="51">
        <v>2011236020</v>
      </c>
      <c r="C22" s="51">
        <v>17</v>
      </c>
      <c r="D22" s="51">
        <v>44</v>
      </c>
      <c r="E22" s="51">
        <v>27</v>
      </c>
      <c r="F22" s="51">
        <f t="shared" si="0"/>
        <v>70</v>
      </c>
      <c r="G22" s="51">
        <v>4</v>
      </c>
      <c r="H22" s="51" t="str">
        <f>LOOKUP(F22,{0,40,45,50,55,60,65,70,75,80,100},{"F","C-","C","C+","B-","B","B+","A-","A","A+","Invalid Entry"})</f>
        <v>A-</v>
      </c>
      <c r="I22" s="51">
        <f>LOOKUP(F22,{0,40,45,50,55,60,65,70,75,80,100},{0,2,2.25,2.5,2.75,3,3.25,3.5,3.75,4,"Invalid Entry"})</f>
        <v>3.5</v>
      </c>
      <c r="J22" s="48"/>
      <c r="K22" s="51">
        <v>15</v>
      </c>
      <c r="L22" s="51">
        <v>68</v>
      </c>
      <c r="M22" s="51">
        <v>27</v>
      </c>
      <c r="N22" s="51">
        <f t="shared" si="1"/>
        <v>92</v>
      </c>
      <c r="O22" s="51">
        <v>3</v>
      </c>
      <c r="P22" s="51" t="str">
        <f>LOOKUP(N22,{0,40,45,50,55,60,65,70,75,80,100},{"F","C-","C","C+","B-","B","B+","A-","A","A+","Invalid Entry"})</f>
        <v>A+</v>
      </c>
      <c r="Q22" s="51">
        <f>LOOKUP(N22,{0,40,45,50,55,60,65,70,75,80,100},{0,2,2.25,2.5,2.75,3,3.25,3.5,3.75,4,"Invalid Entry"})</f>
        <v>4</v>
      </c>
      <c r="R22" s="48"/>
      <c r="S22" s="51">
        <v>17</v>
      </c>
      <c r="T22" s="51">
        <v>57</v>
      </c>
      <c r="U22" s="51">
        <v>27</v>
      </c>
      <c r="V22" s="51">
        <f t="shared" si="2"/>
        <v>83</v>
      </c>
      <c r="W22" s="51">
        <v>4</v>
      </c>
      <c r="X22" s="51" t="str">
        <f>LOOKUP(V22,{0,40,45,50,55,60,65,70,75,80,100},{"F","C-","C","C+","B-","B","B+","A-","A","A+","Invalid Entry"})</f>
        <v>A+</v>
      </c>
      <c r="Y22" s="51">
        <f>LOOKUP(V22,{0,40,45,50,55,60,65,70,75,80,100},{0,2,2.25,2.5,2.75,3,3.25,3.5,3.75,4,"Invalid Entry"})</f>
        <v>4</v>
      </c>
      <c r="Z22" s="48"/>
      <c r="AA22" s="51">
        <v>8</v>
      </c>
      <c r="AB22" s="51">
        <v>54</v>
      </c>
      <c r="AC22" s="51">
        <v>27</v>
      </c>
      <c r="AD22" s="51">
        <f t="shared" si="3"/>
        <v>71</v>
      </c>
      <c r="AE22" s="51">
        <v>2</v>
      </c>
      <c r="AF22" s="51" t="str">
        <f>LOOKUP(AD22,{0,40,45,50,55,60,65,70,75,80,100},{"F","C-","C","C+","B-","B","B+","A-","A","A+","Invalid Entry"})</f>
        <v>A-</v>
      </c>
      <c r="AG22" s="51">
        <f>LOOKUP(AD22,{0,40,45,50,55,60,65,70,75,80,100},{0,2,2.25,2.5,2.75,3,3.25,3.5,3.75,4,"Invalid Entry"})</f>
        <v>3.5</v>
      </c>
      <c r="AH22" s="45"/>
      <c r="AI22" s="51">
        <f t="shared" si="5"/>
        <v>13</v>
      </c>
      <c r="AJ22" s="51">
        <f t="shared" si="4"/>
        <v>3.77</v>
      </c>
      <c r="AK22" s="51" t="str">
        <f>LOOKUP(AJ22,{0,2,2.25,2.5,2.75,3,3.25,3.5,3.75,4},{"F","C-","C","C+","B-","B","B+","A-","A","A+"})</f>
        <v>A</v>
      </c>
    </row>
    <row r="23" spans="1:37">
      <c r="A23" s="51">
        <v>21</v>
      </c>
      <c r="B23" s="51">
        <v>2011236021</v>
      </c>
      <c r="C23" s="51">
        <v>13</v>
      </c>
      <c r="D23" s="51">
        <v>41</v>
      </c>
      <c r="E23" s="51">
        <v>21</v>
      </c>
      <c r="F23" s="51">
        <f t="shared" si="0"/>
        <v>61</v>
      </c>
      <c r="G23" s="51">
        <v>4</v>
      </c>
      <c r="H23" s="51" t="str">
        <f>LOOKUP(F23,{0,40,45,50,55,60,65,70,75,80,100},{"F","C-","C","C+","B-","B","B+","A-","A","A+","Invalid Entry"})</f>
        <v>B</v>
      </c>
      <c r="I23" s="51">
        <f>LOOKUP(F23,{0,40,45,50,55,60,65,70,75,80,100},{0,2,2.25,2.5,2.75,3,3.25,3.5,3.75,4,"Invalid Entry"})</f>
        <v>3</v>
      </c>
      <c r="J23" s="48"/>
      <c r="K23" s="51">
        <v>10</v>
      </c>
      <c r="L23" s="51">
        <v>41</v>
      </c>
      <c r="M23" s="51">
        <v>21</v>
      </c>
      <c r="N23" s="51">
        <f t="shared" si="1"/>
        <v>58</v>
      </c>
      <c r="O23" s="51">
        <v>3</v>
      </c>
      <c r="P23" s="51" t="str">
        <f>LOOKUP(N23,{0,40,45,50,55,60,65,70,75,80,100},{"F","C-","C","C+","B-","B","B+","A-","A","A+","Invalid Entry"})</f>
        <v>B-</v>
      </c>
      <c r="Q23" s="51">
        <f>LOOKUP(N23,{0,40,45,50,55,60,65,70,75,80,100},{0,2,2.25,2.5,2.75,3,3.25,3.5,3.75,4,"Invalid Entry"})</f>
        <v>2.75</v>
      </c>
      <c r="R23" s="48"/>
      <c r="S23" s="51">
        <v>13</v>
      </c>
      <c r="T23" s="51">
        <v>67</v>
      </c>
      <c r="U23" s="51">
        <v>21</v>
      </c>
      <c r="V23" s="51">
        <f t="shared" si="2"/>
        <v>87</v>
      </c>
      <c r="W23" s="51">
        <v>4</v>
      </c>
      <c r="X23" s="51" t="str">
        <f>LOOKUP(V23,{0,40,45,50,55,60,65,70,75,80,100},{"F","C-","C","C+","B-","B","B+","A-","A","A+","Invalid Entry"})</f>
        <v>A+</v>
      </c>
      <c r="Y23" s="51">
        <f>LOOKUP(V23,{0,40,45,50,55,60,65,70,75,80,100},{0,2,2.25,2.5,2.75,3,3.25,3.5,3.75,4,"Invalid Entry"})</f>
        <v>4</v>
      </c>
      <c r="Z23" s="48"/>
      <c r="AA23" s="51">
        <v>19</v>
      </c>
      <c r="AB23" s="51">
        <v>50</v>
      </c>
      <c r="AC23" s="51">
        <v>21</v>
      </c>
      <c r="AD23" s="51">
        <f t="shared" si="3"/>
        <v>76</v>
      </c>
      <c r="AE23" s="51">
        <v>2</v>
      </c>
      <c r="AF23" s="51" t="str">
        <f>LOOKUP(AD23,{0,40,45,50,55,60,65,70,75,80,100},{"F","C-","C","C+","B-","B","B+","A-","A","A+","Invalid Entry"})</f>
        <v>A</v>
      </c>
      <c r="AG23" s="51">
        <f>LOOKUP(AD23,{0,40,45,50,55,60,65,70,75,80,100},{0,2,2.25,2.5,2.75,3,3.25,3.5,3.75,4,"Invalid Entry"})</f>
        <v>3.75</v>
      </c>
      <c r="AH23" s="45"/>
      <c r="AI23" s="51">
        <f t="shared" si="5"/>
        <v>13</v>
      </c>
      <c r="AJ23" s="51">
        <f t="shared" si="4"/>
        <v>3.37</v>
      </c>
      <c r="AK23" s="51" t="str">
        <f>LOOKUP(AJ23,{0,2,2.25,2.5,2.75,3,3.25,3.5,3.75,4},{"F","C-","C","C+","B-","B","B+","A-","A","A+"})</f>
        <v>B+</v>
      </c>
    </row>
    <row r="24" spans="1:37">
      <c r="A24" s="51">
        <v>22</v>
      </c>
      <c r="B24" s="51">
        <v>2011236022</v>
      </c>
      <c r="C24" s="51">
        <v>14</v>
      </c>
      <c r="D24" s="51">
        <v>41</v>
      </c>
      <c r="E24" s="51">
        <v>20</v>
      </c>
      <c r="F24" s="51">
        <f t="shared" si="0"/>
        <v>61</v>
      </c>
      <c r="G24" s="51">
        <v>4</v>
      </c>
      <c r="H24" s="51" t="str">
        <f>LOOKUP(F24,{0,40,45,50,55,60,65,70,75,80,100},{"F","C-","C","C+","B-","B","B+","A-","A","A+","Invalid Entry"})</f>
        <v>B</v>
      </c>
      <c r="I24" s="51">
        <f>LOOKUP(F24,{0,40,45,50,55,60,65,70,75,80,100},{0,2,2.25,2.5,2.75,3,3.25,3.5,3.75,4,"Invalid Entry"})</f>
        <v>3</v>
      </c>
      <c r="J24" s="48"/>
      <c r="K24" s="51">
        <v>11</v>
      </c>
      <c r="L24" s="51">
        <v>50</v>
      </c>
      <c r="M24" s="51">
        <v>20</v>
      </c>
      <c r="N24" s="51">
        <f t="shared" si="1"/>
        <v>67</v>
      </c>
      <c r="O24" s="51">
        <v>3</v>
      </c>
      <c r="P24" s="51" t="str">
        <f>LOOKUP(N24,{0,40,45,50,55,60,65,70,75,80,100},{"F","C-","C","C+","B-","B","B+","A-","A","A+","Invalid Entry"})</f>
        <v>B+</v>
      </c>
      <c r="Q24" s="51">
        <f>LOOKUP(N24,{0,40,45,50,55,60,65,70,75,80,100},{0,2,2.25,2.5,2.75,3,3.25,3.5,3.75,4,"Invalid Entry"})</f>
        <v>3.25</v>
      </c>
      <c r="R24" s="48"/>
      <c r="S24" s="51">
        <v>11</v>
      </c>
      <c r="T24" s="51">
        <v>47</v>
      </c>
      <c r="U24" s="51">
        <v>20</v>
      </c>
      <c r="V24" s="51">
        <f t="shared" si="2"/>
        <v>64</v>
      </c>
      <c r="W24" s="51">
        <v>4</v>
      </c>
      <c r="X24" s="51" t="str">
        <f>LOOKUP(V24,{0,40,45,50,55,60,65,70,75,80,100},{"F","C-","C","C+","B-","B","B+","A-","A","A+","Invalid Entry"})</f>
        <v>B</v>
      </c>
      <c r="Y24" s="51">
        <f>LOOKUP(V24,{0,40,45,50,55,60,65,70,75,80,100},{0,2,2.25,2.5,2.75,3,3.25,3.5,3.75,4,"Invalid Entry"})</f>
        <v>3</v>
      </c>
      <c r="Z24" s="48"/>
      <c r="AA24" s="51">
        <v>8</v>
      </c>
      <c r="AB24" s="51">
        <v>63</v>
      </c>
      <c r="AC24" s="51">
        <v>20</v>
      </c>
      <c r="AD24" s="51">
        <f t="shared" si="3"/>
        <v>77</v>
      </c>
      <c r="AE24" s="51">
        <v>2</v>
      </c>
      <c r="AF24" s="51" t="str">
        <f>LOOKUP(AD24,{0,40,45,50,55,60,65,70,75,80,100},{"F","C-","C","C+","B-","B","B+","A-","A","A+","Invalid Entry"})</f>
        <v>A</v>
      </c>
      <c r="AG24" s="51">
        <f>LOOKUP(AD24,{0,40,45,50,55,60,65,70,75,80,100},{0,2,2.25,2.5,2.75,3,3.25,3.5,3.75,4,"Invalid Entry"})</f>
        <v>3.75</v>
      </c>
      <c r="AH24" s="45"/>
      <c r="AI24" s="51">
        <f t="shared" si="5"/>
        <v>13</v>
      </c>
      <c r="AJ24" s="51">
        <f t="shared" si="4"/>
        <v>3.17</v>
      </c>
      <c r="AK24" s="51" t="str">
        <f>LOOKUP(AJ24,{0,2,2.25,2.5,2.75,3,3.25,3.5,3.75,4},{"F","C-","C","C+","B-","B","B+","A-","A","A+"})</f>
        <v>B</v>
      </c>
    </row>
    <row r="25" spans="1:37">
      <c r="A25" s="51">
        <v>23</v>
      </c>
      <c r="B25" s="51">
        <v>2011236023</v>
      </c>
      <c r="C25" s="51">
        <v>7</v>
      </c>
      <c r="D25" s="51">
        <v>56</v>
      </c>
      <c r="E25" s="51">
        <v>31</v>
      </c>
      <c r="F25" s="51">
        <f t="shared" si="0"/>
        <v>73</v>
      </c>
      <c r="G25" s="51">
        <v>4</v>
      </c>
      <c r="H25" s="51" t="str">
        <f>LOOKUP(F25,{0,40,45,50,55,60,65,70,75,80,100},{"F","C-","C","C+","B-","B","B+","A-","A","A+","Invalid Entry"})</f>
        <v>A-</v>
      </c>
      <c r="I25" s="51">
        <f>LOOKUP(F25,{0,40,45,50,55,60,65,70,75,80,100},{0,2,2.25,2.5,2.75,3,3.25,3.5,3.75,4,"Invalid Entry"})</f>
        <v>3.5</v>
      </c>
      <c r="J25" s="48"/>
      <c r="K25" s="51">
        <v>11</v>
      </c>
      <c r="L25" s="51">
        <v>58</v>
      </c>
      <c r="M25" s="51">
        <v>31</v>
      </c>
      <c r="N25" s="51">
        <f t="shared" si="1"/>
        <v>79</v>
      </c>
      <c r="O25" s="51">
        <v>3</v>
      </c>
      <c r="P25" s="51" t="str">
        <f>LOOKUP(N25,{0,40,45,50,55,60,65,70,75,80,100},{"F","C-","C","C+","B-","B","B+","A-","A","A+","Invalid Entry"})</f>
        <v>A</v>
      </c>
      <c r="Q25" s="51">
        <f>LOOKUP(N25,{0,40,45,50,55,60,65,70,75,80,100},{0,2,2.25,2.5,2.75,3,3.25,3.5,3.75,4,"Invalid Entry"})</f>
        <v>3.75</v>
      </c>
      <c r="R25" s="48"/>
      <c r="S25" s="51">
        <v>20</v>
      </c>
      <c r="T25" s="51">
        <v>63</v>
      </c>
      <c r="U25" s="51">
        <v>31</v>
      </c>
      <c r="V25" s="51">
        <f t="shared" si="2"/>
        <v>93</v>
      </c>
      <c r="W25" s="51">
        <v>4</v>
      </c>
      <c r="X25" s="51" t="str">
        <f>LOOKUP(V25,{0,40,45,50,55,60,65,70,75,80,100},{"F","C-","C","C+","B-","B","B+","A-","A","A+","Invalid Entry"})</f>
        <v>A+</v>
      </c>
      <c r="Y25" s="51">
        <f>LOOKUP(V25,{0,40,45,50,55,60,65,70,75,80,100},{0,2,2.25,2.5,2.75,3,3.25,3.5,3.75,4,"Invalid Entry"})</f>
        <v>4</v>
      </c>
      <c r="Z25" s="48"/>
      <c r="AA25" s="51">
        <v>10</v>
      </c>
      <c r="AB25" s="51">
        <v>49</v>
      </c>
      <c r="AC25" s="51">
        <v>31</v>
      </c>
      <c r="AD25" s="51">
        <f t="shared" si="3"/>
        <v>69</v>
      </c>
      <c r="AE25" s="51">
        <v>2</v>
      </c>
      <c r="AF25" s="51" t="str">
        <f>LOOKUP(AD25,{0,40,45,50,55,60,65,70,75,80,100},{"F","C-","C","C+","B-","B","B+","A-","A","A+","Invalid Entry"})</f>
        <v>B+</v>
      </c>
      <c r="AG25" s="51">
        <f>LOOKUP(AD25,{0,40,45,50,55,60,65,70,75,80,100},{0,2,2.25,2.5,2.75,3,3.25,3.5,3.75,4,"Invalid Entry"})</f>
        <v>3.25</v>
      </c>
      <c r="AH25" s="45"/>
      <c r="AI25" s="51">
        <f t="shared" si="5"/>
        <v>13</v>
      </c>
      <c r="AJ25" s="51">
        <f t="shared" si="4"/>
        <v>3.67</v>
      </c>
      <c r="AK25" s="51" t="str">
        <f>LOOKUP(AJ25,{0,2,2.25,2.5,2.75,3,3.25,3.5,3.75,4},{"F","C-","C","C+","B-","B","B+","A-","A","A+"})</f>
        <v>A-</v>
      </c>
    </row>
    <row r="26" spans="1:37">
      <c r="A26" s="51">
        <v>24</v>
      </c>
      <c r="B26" s="51">
        <v>2011236024</v>
      </c>
      <c r="C26" s="51">
        <v>18</v>
      </c>
      <c r="D26" s="51">
        <v>68</v>
      </c>
      <c r="E26" s="51">
        <v>27</v>
      </c>
      <c r="F26" s="51">
        <f t="shared" si="0"/>
        <v>95</v>
      </c>
      <c r="G26" s="51">
        <v>4</v>
      </c>
      <c r="H26" s="51" t="str">
        <f>LOOKUP(F26,{0,40,45,50,55,60,65,70,75,80,100},{"F","C-","C","C+","B-","B","B+","A-","A","A+","Invalid Entry"})</f>
        <v>A+</v>
      </c>
      <c r="I26" s="51">
        <f>LOOKUP(F26,{0,40,45,50,55,60,65,70,75,80,100},{0,2,2.25,2.5,2.75,3,3.25,3.5,3.75,4,"Invalid Entry"})</f>
        <v>4</v>
      </c>
      <c r="J26" s="48"/>
      <c r="K26" s="51">
        <v>14</v>
      </c>
      <c r="L26" s="51">
        <v>44</v>
      </c>
      <c r="M26" s="51">
        <v>27</v>
      </c>
      <c r="N26" s="51">
        <f t="shared" si="1"/>
        <v>67</v>
      </c>
      <c r="O26" s="51">
        <v>3</v>
      </c>
      <c r="P26" s="51" t="str">
        <f>LOOKUP(N26,{0,40,45,50,55,60,65,70,75,80,100},{"F","C-","C","C+","B-","B","B+","A-","A","A+","Invalid Entry"})</f>
        <v>B+</v>
      </c>
      <c r="Q26" s="51">
        <f>LOOKUP(N26,{0,40,45,50,55,60,65,70,75,80,100},{0,2,2.25,2.5,2.75,3,3.25,3.5,3.75,4,"Invalid Entry"})</f>
        <v>3.25</v>
      </c>
      <c r="R26" s="48"/>
      <c r="S26" s="51">
        <v>17</v>
      </c>
      <c r="T26" s="51">
        <v>53</v>
      </c>
      <c r="U26" s="51">
        <v>27</v>
      </c>
      <c r="V26" s="51">
        <f t="shared" si="2"/>
        <v>79</v>
      </c>
      <c r="W26" s="51">
        <v>4</v>
      </c>
      <c r="X26" s="51" t="str">
        <f>LOOKUP(V26,{0,40,45,50,55,60,65,70,75,80,100},{"F","C-","C","C+","B-","B","B+","A-","A","A+","Invalid Entry"})</f>
        <v>A</v>
      </c>
      <c r="Y26" s="51">
        <f>LOOKUP(V26,{0,40,45,50,55,60,65,70,75,80,100},{0,2,2.25,2.5,2.75,3,3.25,3.5,3.75,4,"Invalid Entry"})</f>
        <v>3.75</v>
      </c>
      <c r="Z26" s="48"/>
      <c r="AA26" s="51">
        <v>19</v>
      </c>
      <c r="AB26" s="51">
        <v>70</v>
      </c>
      <c r="AC26" s="51">
        <v>27</v>
      </c>
      <c r="AD26" s="51">
        <f t="shared" si="3"/>
        <v>98</v>
      </c>
      <c r="AE26" s="51">
        <v>2</v>
      </c>
      <c r="AF26" s="51" t="str">
        <f>LOOKUP(AD26,{0,40,45,50,55,60,65,70,75,80,100},{"F","C-","C","C+","B-","B","B+","A-","A","A+","Invalid Entry"})</f>
        <v>A+</v>
      </c>
      <c r="AG26" s="51">
        <f>LOOKUP(AD26,{0,40,45,50,55,60,65,70,75,80,100},{0,2,2.25,2.5,2.75,3,3.25,3.5,3.75,4,"Invalid Entry"})</f>
        <v>4</v>
      </c>
      <c r="AH26" s="45"/>
      <c r="AI26" s="51">
        <f t="shared" si="5"/>
        <v>13</v>
      </c>
      <c r="AJ26" s="51">
        <f t="shared" si="4"/>
        <v>3.75</v>
      </c>
      <c r="AK26" s="51" t="str">
        <f>LOOKUP(AJ26,{0,2,2.25,2.5,2.75,3,3.25,3.5,3.75,4},{"F","C-","C","C+","B-","B","B+","A-","A","A+"})</f>
        <v>A</v>
      </c>
    </row>
    <row r="27" spans="1:37">
      <c r="A27" s="51">
        <v>25</v>
      </c>
      <c r="B27" s="51">
        <v>2011236025</v>
      </c>
      <c r="C27" s="51">
        <v>12</v>
      </c>
      <c r="D27" s="51">
        <v>50</v>
      </c>
      <c r="E27" s="51">
        <v>22</v>
      </c>
      <c r="F27" s="51">
        <f t="shared" si="0"/>
        <v>69</v>
      </c>
      <c r="G27" s="51">
        <v>4</v>
      </c>
      <c r="H27" s="51" t="str">
        <f>LOOKUP(F27,{0,40,45,50,55,60,65,70,75,80,100},{"F","C-","C","C+","B-","B","B+","A-","A","A+","Invalid Entry"})</f>
        <v>B+</v>
      </c>
      <c r="I27" s="51">
        <f>LOOKUP(F27,{0,40,45,50,55,60,65,70,75,80,100},{0,2,2.25,2.5,2.75,3,3.25,3.5,3.75,4,"Invalid Entry"})</f>
        <v>3.25</v>
      </c>
      <c r="J27" s="48"/>
      <c r="K27" s="51">
        <v>11</v>
      </c>
      <c r="L27" s="51">
        <v>68</v>
      </c>
      <c r="M27" s="51">
        <v>22</v>
      </c>
      <c r="N27" s="51">
        <f t="shared" si="1"/>
        <v>86</v>
      </c>
      <c r="O27" s="51">
        <v>3</v>
      </c>
      <c r="P27" s="51" t="str">
        <f>LOOKUP(N27,{0,40,45,50,55,60,65,70,75,80,100},{"F","C-","C","C+","B-","B","B+","A-","A","A+","Invalid Entry"})</f>
        <v>A+</v>
      </c>
      <c r="Q27" s="51">
        <f>LOOKUP(N27,{0,40,45,50,55,60,65,70,75,80,100},{0,2,2.25,2.5,2.75,3,3.25,3.5,3.75,4,"Invalid Entry"})</f>
        <v>4</v>
      </c>
      <c r="R27" s="48"/>
      <c r="S27" s="51">
        <v>18</v>
      </c>
      <c r="T27" s="51">
        <v>55</v>
      </c>
      <c r="U27" s="51">
        <v>22</v>
      </c>
      <c r="V27" s="51">
        <f t="shared" si="2"/>
        <v>80</v>
      </c>
      <c r="W27" s="51">
        <v>4</v>
      </c>
      <c r="X27" s="51" t="str">
        <f>LOOKUP(V27,{0,40,45,50,55,60,65,70,75,80,100},{"F","C-","C","C+","B-","B","B+","A-","A","A+","Invalid Entry"})</f>
        <v>A+</v>
      </c>
      <c r="Y27" s="51">
        <f>LOOKUP(V27,{0,40,45,50,55,60,65,70,75,80,100},{0,2,2.25,2.5,2.75,3,3.25,3.5,3.75,4,"Invalid Entry"})</f>
        <v>4</v>
      </c>
      <c r="Z27" s="48"/>
      <c r="AA27" s="51">
        <v>17</v>
      </c>
      <c r="AB27" s="51">
        <v>58</v>
      </c>
      <c r="AC27" s="51">
        <v>22</v>
      </c>
      <c r="AD27" s="51">
        <f t="shared" si="3"/>
        <v>82</v>
      </c>
      <c r="AE27" s="51">
        <v>2</v>
      </c>
      <c r="AF27" s="51" t="str">
        <f>LOOKUP(AD27,{0,40,45,50,55,60,65,70,75,80,100},{"F","C-","C","C+","B-","B","B+","A-","A","A+","Invalid Entry"})</f>
        <v>A+</v>
      </c>
      <c r="AG27" s="51">
        <f>LOOKUP(AD27,{0,40,45,50,55,60,65,70,75,80,100},{0,2,2.25,2.5,2.75,3,3.25,3.5,3.75,4,"Invalid Entry"})</f>
        <v>4</v>
      </c>
      <c r="AH27" s="45"/>
      <c r="AI27" s="51">
        <f t="shared" si="5"/>
        <v>13</v>
      </c>
      <c r="AJ27" s="51">
        <f t="shared" si="4"/>
        <v>3.77</v>
      </c>
      <c r="AK27" s="51" t="str">
        <f>LOOKUP(AJ27,{0,2,2.25,2.5,2.75,3,3.25,3.5,3.75,4},{"F","C-","C","C+","B-","B","B+","A-","A","A+"})</f>
        <v>A</v>
      </c>
    </row>
    <row r="28" spans="1:37">
      <c r="A28" s="51">
        <v>26</v>
      </c>
      <c r="B28" s="51">
        <v>2011236026</v>
      </c>
      <c r="C28" s="51">
        <v>15</v>
      </c>
      <c r="D28" s="51">
        <v>63</v>
      </c>
      <c r="E28" s="51">
        <v>32</v>
      </c>
      <c r="F28" s="51">
        <f t="shared" si="0"/>
        <v>88</v>
      </c>
      <c r="G28" s="51">
        <v>4</v>
      </c>
      <c r="H28" s="51" t="str">
        <f>LOOKUP(F28,{0,40,45,50,55,60,65,70,75,80,100},{"F","C-","C","C+","B-","B","B+","A-","A","A+","Invalid Entry"})</f>
        <v>A+</v>
      </c>
      <c r="I28" s="51">
        <f>LOOKUP(F28,{0,40,45,50,55,60,65,70,75,80,100},{0,2,2.25,2.5,2.75,3,3.25,3.5,3.75,4,"Invalid Entry"})</f>
        <v>4</v>
      </c>
      <c r="J28" s="48"/>
      <c r="K28" s="51">
        <v>11</v>
      </c>
      <c r="L28" s="51">
        <v>51</v>
      </c>
      <c r="M28" s="51">
        <v>32</v>
      </c>
      <c r="N28" s="51">
        <f t="shared" si="1"/>
        <v>72</v>
      </c>
      <c r="O28" s="51">
        <v>3</v>
      </c>
      <c r="P28" s="51" t="str">
        <f>LOOKUP(N28,{0,40,45,50,55,60,65,70,75,80,100},{"F","C-","C","C+","B-","B","B+","A-","A","A+","Invalid Entry"})</f>
        <v>A-</v>
      </c>
      <c r="Q28" s="51">
        <f>LOOKUP(N28,{0,40,45,50,55,60,65,70,75,80,100},{0,2,2.25,2.5,2.75,3,3.25,3.5,3.75,4,"Invalid Entry"})</f>
        <v>3.5</v>
      </c>
      <c r="R28" s="48"/>
      <c r="S28" s="51">
        <v>20</v>
      </c>
      <c r="T28" s="51">
        <v>46</v>
      </c>
      <c r="U28" s="51">
        <v>32</v>
      </c>
      <c r="V28" s="51">
        <f t="shared" si="2"/>
        <v>76</v>
      </c>
      <c r="W28" s="51">
        <v>4</v>
      </c>
      <c r="X28" s="51" t="str">
        <f>LOOKUP(V28,{0,40,45,50,55,60,65,70,75,80,100},{"F","C-","C","C+","B-","B","B+","A-","A","A+","Invalid Entry"})</f>
        <v>A</v>
      </c>
      <c r="Y28" s="51">
        <f>LOOKUP(V28,{0,40,45,50,55,60,65,70,75,80,100},{0,2,2.25,2.5,2.75,3,3.25,3.5,3.75,4,"Invalid Entry"})</f>
        <v>3.75</v>
      </c>
      <c r="Z28" s="48"/>
      <c r="AA28" s="51">
        <v>11</v>
      </c>
      <c r="AB28" s="51">
        <v>48</v>
      </c>
      <c r="AC28" s="51">
        <v>32</v>
      </c>
      <c r="AD28" s="51">
        <f t="shared" si="3"/>
        <v>69</v>
      </c>
      <c r="AE28" s="51">
        <v>2</v>
      </c>
      <c r="AF28" s="51" t="str">
        <f>LOOKUP(AD28,{0,40,45,50,55,60,65,70,75,80,100},{"F","C-","C","C+","B-","B","B+","A-","A","A+","Invalid Entry"})</f>
        <v>B+</v>
      </c>
      <c r="AG28" s="51">
        <f>LOOKUP(AD28,{0,40,45,50,55,60,65,70,75,80,100},{0,2,2.25,2.5,2.75,3,3.25,3.5,3.75,4,"Invalid Entry"})</f>
        <v>3.25</v>
      </c>
      <c r="AH28" s="45"/>
      <c r="AI28" s="51">
        <f t="shared" si="5"/>
        <v>13</v>
      </c>
      <c r="AJ28" s="51">
        <f t="shared" si="4"/>
        <v>3.69</v>
      </c>
      <c r="AK28" s="51" t="str">
        <f>LOOKUP(AJ28,{0,2,2.25,2.5,2.75,3,3.25,3.5,3.75,4},{"F","C-","C","C+","B-","B","B+","A-","A","A+"})</f>
        <v>A-</v>
      </c>
    </row>
    <row r="29" spans="1:37">
      <c r="A29" s="51">
        <v>27</v>
      </c>
      <c r="B29" s="51">
        <v>2011236027</v>
      </c>
      <c r="C29" s="51">
        <v>19</v>
      </c>
      <c r="D29" s="51">
        <v>41</v>
      </c>
      <c r="E29" s="51">
        <v>25</v>
      </c>
      <c r="F29" s="51">
        <f t="shared" si="0"/>
        <v>68</v>
      </c>
      <c r="G29" s="51">
        <v>4</v>
      </c>
      <c r="H29" s="51" t="str">
        <f>LOOKUP(F29,{0,40,45,50,55,60,65,70,75,80,100},{"F","C-","C","C+","B-","B","B+","A-","A","A+","Invalid Entry"})</f>
        <v>B+</v>
      </c>
      <c r="I29" s="51">
        <f>LOOKUP(F29,{0,40,45,50,55,60,65,70,75,80,100},{0,2,2.25,2.5,2.75,3,3.25,3.5,3.75,4,"Invalid Entry"})</f>
        <v>3.25</v>
      </c>
      <c r="J29" s="48"/>
      <c r="K29" s="51">
        <v>16</v>
      </c>
      <c r="L29" s="51">
        <v>58</v>
      </c>
      <c r="M29" s="51">
        <v>25</v>
      </c>
      <c r="N29" s="51">
        <f t="shared" si="1"/>
        <v>82</v>
      </c>
      <c r="O29" s="51">
        <v>3</v>
      </c>
      <c r="P29" s="51" t="str">
        <f>LOOKUP(N29,{0,40,45,50,55,60,65,70,75,80,100},{"F","C-","C","C+","B-","B","B+","A-","A","A+","Invalid Entry"})</f>
        <v>A+</v>
      </c>
      <c r="Q29" s="51">
        <f>LOOKUP(N29,{0,40,45,50,55,60,65,70,75,80,100},{0,2,2.25,2.5,2.75,3,3.25,3.5,3.75,4,"Invalid Entry"})</f>
        <v>4</v>
      </c>
      <c r="R29" s="48"/>
      <c r="S29" s="51">
        <v>19</v>
      </c>
      <c r="T29" s="51">
        <v>48</v>
      </c>
      <c r="U29" s="51">
        <v>25</v>
      </c>
      <c r="V29" s="51">
        <f t="shared" si="2"/>
        <v>75</v>
      </c>
      <c r="W29" s="51">
        <v>4</v>
      </c>
      <c r="X29" s="51" t="str">
        <f>LOOKUP(V29,{0,40,45,50,55,60,65,70,75,80,100},{"F","C-","C","C+","B-","B","B+","A-","A","A+","Invalid Entry"})</f>
        <v>A</v>
      </c>
      <c r="Y29" s="51">
        <f>LOOKUP(V29,{0,40,45,50,55,60,65,70,75,80,100},{0,2,2.25,2.5,2.75,3,3.25,3.5,3.75,4,"Invalid Entry"})</f>
        <v>3.75</v>
      </c>
      <c r="Z29" s="48"/>
      <c r="AA29" s="51">
        <v>17</v>
      </c>
      <c r="AB29" s="51">
        <v>69</v>
      </c>
      <c r="AC29" s="51">
        <v>25</v>
      </c>
      <c r="AD29" s="51">
        <f t="shared" si="3"/>
        <v>94</v>
      </c>
      <c r="AE29" s="51">
        <v>2</v>
      </c>
      <c r="AF29" s="51" t="str">
        <f>LOOKUP(AD29,{0,40,45,50,55,60,65,70,75,80,100},{"F","C-","C","C+","B-","B","B+","A-","A","A+","Invalid Entry"})</f>
        <v>A+</v>
      </c>
      <c r="AG29" s="51">
        <f>LOOKUP(AD29,{0,40,45,50,55,60,65,70,75,80,100},{0,2,2.25,2.5,2.75,3,3.25,3.5,3.75,4,"Invalid Entry"})</f>
        <v>4</v>
      </c>
      <c r="AH29" s="45"/>
      <c r="AI29" s="51">
        <f t="shared" si="5"/>
        <v>13</v>
      </c>
      <c r="AJ29" s="51">
        <f t="shared" si="4"/>
        <v>3.69</v>
      </c>
      <c r="AK29" s="51" t="str">
        <f>LOOKUP(AJ29,{0,2,2.25,2.5,2.75,3,3.25,3.5,3.75,4},{"F","C-","C","C+","B-","B","B+","A-","A","A+"})</f>
        <v>A-</v>
      </c>
    </row>
    <row r="30" spans="1:37">
      <c r="A30" s="51">
        <v>28</v>
      </c>
      <c r="B30" s="51">
        <v>2011236028</v>
      </c>
      <c r="C30" s="51">
        <v>16</v>
      </c>
      <c r="D30" s="51">
        <v>54</v>
      </c>
      <c r="E30" s="51">
        <v>31</v>
      </c>
      <c r="F30" s="51">
        <f t="shared" si="0"/>
        <v>80</v>
      </c>
      <c r="G30" s="51">
        <v>4</v>
      </c>
      <c r="H30" s="51" t="str">
        <f>LOOKUP(F30,{0,40,45,50,55,60,65,70,75,80,100},{"F","C-","C","C+","B-","B","B+","A-","A","A+","Invalid Entry"})</f>
        <v>A+</v>
      </c>
      <c r="I30" s="51">
        <f>LOOKUP(F30,{0,40,45,50,55,60,65,70,75,80,100},{0,2,2.25,2.5,2.75,3,3.25,3.5,3.75,4,"Invalid Entry"})</f>
        <v>4</v>
      </c>
      <c r="J30" s="48"/>
      <c r="K30" s="51">
        <v>18</v>
      </c>
      <c r="L30" s="51">
        <v>56</v>
      </c>
      <c r="M30" s="51">
        <v>31</v>
      </c>
      <c r="N30" s="51">
        <f t="shared" si="1"/>
        <v>84</v>
      </c>
      <c r="O30" s="51">
        <v>3</v>
      </c>
      <c r="P30" s="51" t="str">
        <f>LOOKUP(N30,{0,40,45,50,55,60,65,70,75,80,100},{"F","C-","C","C+","B-","B","B+","A-","A","A+","Invalid Entry"})</f>
        <v>A+</v>
      </c>
      <c r="Q30" s="51">
        <f>LOOKUP(N30,{0,40,45,50,55,60,65,70,75,80,100},{0,2,2.25,2.5,2.75,3,3.25,3.5,3.75,4,"Invalid Entry"})</f>
        <v>4</v>
      </c>
      <c r="R30" s="48"/>
      <c r="S30" s="51">
        <v>20</v>
      </c>
      <c r="T30" s="51">
        <v>52</v>
      </c>
      <c r="U30" s="51">
        <v>31</v>
      </c>
      <c r="V30" s="51">
        <f t="shared" si="2"/>
        <v>82</v>
      </c>
      <c r="W30" s="51">
        <v>4</v>
      </c>
      <c r="X30" s="51" t="str">
        <f>LOOKUP(V30,{0,40,45,50,55,60,65,70,75,80,100},{"F","C-","C","C+","B-","B","B+","A-","A","A+","Invalid Entry"})</f>
        <v>A+</v>
      </c>
      <c r="Y30" s="51">
        <f>LOOKUP(V30,{0,40,45,50,55,60,65,70,75,80,100},{0,2,2.25,2.5,2.75,3,3.25,3.5,3.75,4,"Invalid Entry"})</f>
        <v>4</v>
      </c>
      <c r="Z30" s="48"/>
      <c r="AA30" s="51">
        <v>17</v>
      </c>
      <c r="AB30" s="51">
        <v>53</v>
      </c>
      <c r="AC30" s="51">
        <v>31</v>
      </c>
      <c r="AD30" s="51">
        <f t="shared" si="3"/>
        <v>80</v>
      </c>
      <c r="AE30" s="51">
        <v>2</v>
      </c>
      <c r="AF30" s="51" t="str">
        <f>LOOKUP(AD30,{0,40,45,50,55,60,65,70,75,80,100},{"F","C-","C","C+","B-","B","B+","A-","A","A+","Invalid Entry"})</f>
        <v>A+</v>
      </c>
      <c r="AG30" s="51">
        <f>LOOKUP(AD30,{0,40,45,50,55,60,65,70,75,80,100},{0,2,2.25,2.5,2.75,3,3.25,3.5,3.75,4,"Invalid Entry"})</f>
        <v>4</v>
      </c>
      <c r="AH30" s="45"/>
      <c r="AI30" s="51">
        <f t="shared" si="5"/>
        <v>13</v>
      </c>
      <c r="AJ30" s="51">
        <f t="shared" si="4"/>
        <v>4</v>
      </c>
      <c r="AK30" s="51" t="str">
        <f>LOOKUP(AJ30,{0,2,2.25,2.5,2.75,3,3.25,3.5,3.75,4},{"F","C-","C","C+","B-","B","B+","A-","A","A+"})</f>
        <v>A+</v>
      </c>
    </row>
    <row r="31" spans="1:37">
      <c r="A31" s="51">
        <v>29</v>
      </c>
      <c r="B31" s="51">
        <v>2011236029</v>
      </c>
      <c r="C31" s="51">
        <v>14</v>
      </c>
      <c r="D31" s="51">
        <v>63</v>
      </c>
      <c r="E31" s="51">
        <v>26</v>
      </c>
      <c r="F31" s="51">
        <f t="shared" si="0"/>
        <v>85</v>
      </c>
      <c r="G31" s="51">
        <v>4</v>
      </c>
      <c r="H31" s="51" t="str">
        <f>LOOKUP(F31,{0,40,45,50,55,60,65,70,75,80,100},{"F","C-","C","C+","B-","B","B+","A-","A","A+","Invalid Entry"})</f>
        <v>A+</v>
      </c>
      <c r="I31" s="51">
        <f>LOOKUP(F31,{0,40,45,50,55,60,65,70,75,80,100},{0,2,2.25,2.5,2.75,3,3.25,3.5,3.75,4,"Invalid Entry"})</f>
        <v>4</v>
      </c>
      <c r="J31" s="48"/>
      <c r="K31" s="51">
        <v>16</v>
      </c>
      <c r="L31" s="51">
        <v>48</v>
      </c>
      <c r="M31" s="51">
        <v>26</v>
      </c>
      <c r="N31" s="51">
        <f t="shared" si="1"/>
        <v>72</v>
      </c>
      <c r="O31" s="51">
        <v>3</v>
      </c>
      <c r="P31" s="51" t="str">
        <f>LOOKUP(N31,{0,40,45,50,55,60,65,70,75,80,100},{"F","C-","C","C+","B-","B","B+","A-","A","A+","Invalid Entry"})</f>
        <v>A-</v>
      </c>
      <c r="Q31" s="51">
        <f>LOOKUP(N31,{0,40,45,50,55,60,65,70,75,80,100},{0,2,2.25,2.5,2.75,3,3.25,3.5,3.75,4,"Invalid Entry"})</f>
        <v>3.5</v>
      </c>
      <c r="R31" s="48"/>
      <c r="S31" s="51">
        <v>19</v>
      </c>
      <c r="T31" s="51">
        <v>67</v>
      </c>
      <c r="U31" s="51">
        <v>26</v>
      </c>
      <c r="V31" s="51">
        <f t="shared" si="2"/>
        <v>94</v>
      </c>
      <c r="W31" s="51">
        <v>4</v>
      </c>
      <c r="X31" s="51" t="str">
        <f>LOOKUP(V31,{0,40,45,50,55,60,65,70,75,80,100},{"F","C-","C","C+","B-","B","B+","A-","A","A+","Invalid Entry"})</f>
        <v>A+</v>
      </c>
      <c r="Y31" s="51">
        <f>LOOKUP(V31,{0,40,45,50,55,60,65,70,75,80,100},{0,2,2.25,2.5,2.75,3,3.25,3.5,3.75,4,"Invalid Entry"})</f>
        <v>4</v>
      </c>
      <c r="Z31" s="48"/>
      <c r="AA31" s="51">
        <v>17</v>
      </c>
      <c r="AB31" s="51">
        <v>70</v>
      </c>
      <c r="AC31" s="51">
        <v>26</v>
      </c>
      <c r="AD31" s="51">
        <f t="shared" si="3"/>
        <v>95</v>
      </c>
      <c r="AE31" s="51">
        <v>2</v>
      </c>
      <c r="AF31" s="51" t="str">
        <f>LOOKUP(AD31,{0,40,45,50,55,60,65,70,75,80,100},{"F","C-","C","C+","B-","B","B+","A-","A","A+","Invalid Entry"})</f>
        <v>A+</v>
      </c>
      <c r="AG31" s="51">
        <f>LOOKUP(AD31,{0,40,45,50,55,60,65,70,75,80,100},{0,2,2.25,2.5,2.75,3,3.25,3.5,3.75,4,"Invalid Entry"})</f>
        <v>4</v>
      </c>
      <c r="AH31" s="45"/>
      <c r="AI31" s="51">
        <f t="shared" si="5"/>
        <v>13</v>
      </c>
      <c r="AJ31" s="51">
        <f t="shared" si="4"/>
        <v>3.88</v>
      </c>
      <c r="AK31" s="51" t="str">
        <f>LOOKUP(AJ31,{0,2,2.25,2.5,2.75,3,3.25,3.5,3.75,4},{"F","C-","C","C+","B-","B","B+","A-","A","A+"})</f>
        <v>A</v>
      </c>
    </row>
    <row r="32" spans="1:37">
      <c r="A32" s="51">
        <v>30</v>
      </c>
      <c r="B32" s="51">
        <v>2011236030</v>
      </c>
      <c r="C32" s="51">
        <v>19</v>
      </c>
      <c r="D32" s="51">
        <v>50</v>
      </c>
      <c r="E32" s="51">
        <v>27</v>
      </c>
      <c r="F32" s="51">
        <f t="shared" si="0"/>
        <v>78</v>
      </c>
      <c r="G32" s="51">
        <v>4</v>
      </c>
      <c r="H32" s="51" t="str">
        <f>LOOKUP(F32,{0,40,45,50,55,60,65,70,75,80,100},{"F","C-","C","C+","B-","B","B+","A-","A","A+","Invalid Entry"})</f>
        <v>A</v>
      </c>
      <c r="I32" s="51">
        <f>LOOKUP(F32,{0,40,45,50,55,60,65,70,75,80,100},{0,2,2.25,2.5,2.75,3,3.25,3.5,3.75,4,"Invalid Entry"})</f>
        <v>3.75</v>
      </c>
      <c r="J32" s="48"/>
      <c r="K32" s="51">
        <v>12</v>
      </c>
      <c r="L32" s="51">
        <v>54</v>
      </c>
      <c r="M32" s="51">
        <v>27</v>
      </c>
      <c r="N32" s="51">
        <f t="shared" si="1"/>
        <v>75</v>
      </c>
      <c r="O32" s="51">
        <v>3</v>
      </c>
      <c r="P32" s="51" t="str">
        <f>LOOKUP(N32,{0,40,45,50,55,60,65,70,75,80,100},{"F","C-","C","C+","B-","B","B+","A-","A","A+","Invalid Entry"})</f>
        <v>A</v>
      </c>
      <c r="Q32" s="51">
        <f>LOOKUP(N32,{0,40,45,50,55,60,65,70,75,80,100},{0,2,2.25,2.5,2.75,3,3.25,3.5,3.75,4,"Invalid Entry"})</f>
        <v>3.75</v>
      </c>
      <c r="R32" s="48"/>
      <c r="S32" s="51">
        <v>12</v>
      </c>
      <c r="T32" s="51">
        <v>61</v>
      </c>
      <c r="U32" s="51">
        <v>27</v>
      </c>
      <c r="V32" s="51">
        <f t="shared" si="2"/>
        <v>82</v>
      </c>
      <c r="W32" s="51">
        <v>4</v>
      </c>
      <c r="X32" s="51" t="str">
        <f>LOOKUP(V32,{0,40,45,50,55,60,65,70,75,80,100},{"F","C-","C","C+","B-","B","B+","A-","A","A+","Invalid Entry"})</f>
        <v>A+</v>
      </c>
      <c r="Y32" s="51">
        <f>LOOKUP(V32,{0,40,45,50,55,60,65,70,75,80,100},{0,2,2.25,2.5,2.75,3,3.25,3.5,3.75,4,"Invalid Entry"})</f>
        <v>4</v>
      </c>
      <c r="Z32" s="48"/>
      <c r="AA32" s="51">
        <v>11</v>
      </c>
      <c r="AB32" s="51">
        <v>46</v>
      </c>
      <c r="AC32" s="51">
        <v>27</v>
      </c>
      <c r="AD32" s="51">
        <f t="shared" si="3"/>
        <v>66</v>
      </c>
      <c r="AE32" s="51">
        <v>2</v>
      </c>
      <c r="AF32" s="51" t="str">
        <f>LOOKUP(AD32,{0,40,45,50,55,60,65,70,75,80,100},{"F","C-","C","C+","B-","B","B+","A-","A","A+","Invalid Entry"})</f>
        <v>B+</v>
      </c>
      <c r="AG32" s="51">
        <f>LOOKUP(AD32,{0,40,45,50,55,60,65,70,75,80,100},{0,2,2.25,2.5,2.75,3,3.25,3.5,3.75,4,"Invalid Entry"})</f>
        <v>3.25</v>
      </c>
      <c r="AH32" s="45"/>
      <c r="AI32" s="51">
        <f t="shared" si="5"/>
        <v>13</v>
      </c>
      <c r="AJ32" s="51">
        <f t="shared" si="4"/>
        <v>3.75</v>
      </c>
      <c r="AK32" s="51" t="str">
        <f>LOOKUP(AJ32,{0,2,2.25,2.5,2.75,3,3.25,3.5,3.75,4},{"F","C-","C","C+","B-","B","B+","A-","A","A+"})</f>
        <v>A</v>
      </c>
    </row>
    <row r="33" spans="3:10">
      <c r="C33" s="51"/>
      <c r="D33" s="51"/>
      <c r="E33" s="51"/>
      <c r="F33" s="51"/>
      <c r="G33" s="51"/>
      <c r="H33" s="51"/>
      <c r="I33" s="51"/>
      <c r="J33" s="48"/>
    </row>
  </sheetData>
  <mergeCells count="7">
    <mergeCell ref="AK1:AK2"/>
    <mergeCell ref="C1:I1"/>
    <mergeCell ref="K1:Q1"/>
    <mergeCell ref="S1:Y1"/>
    <mergeCell ref="AA1:AG1"/>
    <mergeCell ref="AI1:AI2"/>
    <mergeCell ref="AJ1:A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33"/>
  <sheetViews>
    <sheetView zoomScale="80" zoomScaleNormal="80" workbookViewId="0">
      <selection activeCell="AK1" sqref="AK1:AK1048576"/>
    </sheetView>
  </sheetViews>
  <sheetFormatPr defaultRowHeight="15"/>
  <cols>
    <col min="1" max="1" width="9" style="20"/>
    <col min="2" max="2" width="13.125" style="51" customWidth="1"/>
    <col min="3" max="4" width="9" style="20"/>
    <col min="5" max="5" width="15.375" style="20" customWidth="1"/>
    <col min="6" max="7" width="9" style="20"/>
    <col min="8" max="8" width="12.875" style="20" customWidth="1"/>
    <col min="9" max="9" width="9" style="20"/>
    <col min="10" max="10" width="1.25" style="43" customWidth="1"/>
    <col min="11" max="12" width="9" style="20"/>
    <col min="13" max="13" width="15.25" style="20" customWidth="1"/>
    <col min="14" max="15" width="9" style="20"/>
    <col min="16" max="16" width="14" style="20" customWidth="1"/>
    <col min="17" max="17" width="9" style="20"/>
    <col min="18" max="18" width="1.125" style="43" customWidth="1"/>
    <col min="19" max="20" width="9" style="20"/>
    <col min="21" max="21" width="14.625" style="20" customWidth="1"/>
    <col min="22" max="23" width="9" style="20"/>
    <col min="24" max="24" width="12.75" style="20" customWidth="1"/>
    <col min="25" max="25" width="9" style="20"/>
    <col min="26" max="26" width="1.375" style="43" customWidth="1"/>
    <col min="27" max="28" width="9" style="20"/>
    <col min="29" max="29" width="16.625" style="20" customWidth="1"/>
    <col min="30" max="31" width="9" style="20"/>
    <col min="32" max="32" width="12.375" style="20" customWidth="1"/>
    <col min="33" max="33" width="9" style="20"/>
    <col min="34" max="34" width="1.25" style="43" customWidth="1"/>
    <col min="35" max="35" width="13.25" style="51" customWidth="1"/>
    <col min="36" max="36" width="11.75" style="20" customWidth="1"/>
    <col min="37" max="37" width="14.125" style="20" customWidth="1"/>
    <col min="266" max="266" width="13.125" customWidth="1"/>
    <col min="269" max="269" width="15.375" customWidth="1"/>
    <col min="271" max="271" width="12.875" customWidth="1"/>
    <col min="275" max="275" width="15.25" customWidth="1"/>
    <col min="277" max="277" width="14" customWidth="1"/>
    <col min="281" max="281" width="14.625" customWidth="1"/>
    <col min="283" max="283" width="12.75" customWidth="1"/>
    <col min="287" max="287" width="16.625" customWidth="1"/>
    <col min="289" max="289" width="12.375" customWidth="1"/>
    <col min="291" max="291" width="13.25" customWidth="1"/>
    <col min="292" max="292" width="11.75" customWidth="1"/>
    <col min="293" max="293" width="14.125" customWidth="1"/>
    <col min="522" max="522" width="13.125" customWidth="1"/>
    <col min="525" max="525" width="15.375" customWidth="1"/>
    <col min="527" max="527" width="12.875" customWidth="1"/>
    <col min="531" max="531" width="15.25" customWidth="1"/>
    <col min="533" max="533" width="14" customWidth="1"/>
    <col min="537" max="537" width="14.625" customWidth="1"/>
    <col min="539" max="539" width="12.75" customWidth="1"/>
    <col min="543" max="543" width="16.625" customWidth="1"/>
    <col min="545" max="545" width="12.375" customWidth="1"/>
    <col min="547" max="547" width="13.25" customWidth="1"/>
    <col min="548" max="548" width="11.75" customWidth="1"/>
    <col min="549" max="549" width="14.125" customWidth="1"/>
    <col min="778" max="778" width="13.125" customWidth="1"/>
    <col min="781" max="781" width="15.375" customWidth="1"/>
    <col min="783" max="783" width="12.875" customWidth="1"/>
    <col min="787" max="787" width="15.25" customWidth="1"/>
    <col min="789" max="789" width="14" customWidth="1"/>
    <col min="793" max="793" width="14.625" customWidth="1"/>
    <col min="795" max="795" width="12.75" customWidth="1"/>
    <col min="799" max="799" width="16.625" customWidth="1"/>
    <col min="801" max="801" width="12.375" customWidth="1"/>
    <col min="803" max="803" width="13.25" customWidth="1"/>
    <col min="804" max="804" width="11.75" customWidth="1"/>
    <col min="805" max="805" width="14.125" customWidth="1"/>
    <col min="1034" max="1034" width="13.125" customWidth="1"/>
    <col min="1037" max="1037" width="15.375" customWidth="1"/>
    <col min="1039" max="1039" width="12.875" customWidth="1"/>
    <col min="1043" max="1043" width="15.25" customWidth="1"/>
    <col min="1045" max="1045" width="14" customWidth="1"/>
    <col min="1049" max="1049" width="14.625" customWidth="1"/>
    <col min="1051" max="1051" width="12.75" customWidth="1"/>
    <col min="1055" max="1055" width="16.625" customWidth="1"/>
    <col min="1057" max="1057" width="12.375" customWidth="1"/>
    <col min="1059" max="1059" width="13.25" customWidth="1"/>
    <col min="1060" max="1060" width="11.75" customWidth="1"/>
    <col min="1061" max="1061" width="14.125" customWidth="1"/>
    <col min="1290" max="1290" width="13.125" customWidth="1"/>
    <col min="1293" max="1293" width="15.375" customWidth="1"/>
    <col min="1295" max="1295" width="12.875" customWidth="1"/>
    <col min="1299" max="1299" width="15.25" customWidth="1"/>
    <col min="1301" max="1301" width="14" customWidth="1"/>
    <col min="1305" max="1305" width="14.625" customWidth="1"/>
    <col min="1307" max="1307" width="12.75" customWidth="1"/>
    <col min="1311" max="1311" width="16.625" customWidth="1"/>
    <col min="1313" max="1313" width="12.375" customWidth="1"/>
    <col min="1315" max="1315" width="13.25" customWidth="1"/>
    <col min="1316" max="1316" width="11.75" customWidth="1"/>
    <col min="1317" max="1317" width="14.125" customWidth="1"/>
    <col min="1546" max="1546" width="13.125" customWidth="1"/>
    <col min="1549" max="1549" width="15.375" customWidth="1"/>
    <col min="1551" max="1551" width="12.875" customWidth="1"/>
    <col min="1555" max="1555" width="15.25" customWidth="1"/>
    <col min="1557" max="1557" width="14" customWidth="1"/>
    <col min="1561" max="1561" width="14.625" customWidth="1"/>
    <col min="1563" max="1563" width="12.75" customWidth="1"/>
    <col min="1567" max="1567" width="16.625" customWidth="1"/>
    <col min="1569" max="1569" width="12.375" customWidth="1"/>
    <col min="1571" max="1571" width="13.25" customWidth="1"/>
    <col min="1572" max="1572" width="11.75" customWidth="1"/>
    <col min="1573" max="1573" width="14.125" customWidth="1"/>
    <col min="1802" max="1802" width="13.125" customWidth="1"/>
    <col min="1805" max="1805" width="15.375" customWidth="1"/>
    <col min="1807" max="1807" width="12.875" customWidth="1"/>
    <col min="1811" max="1811" width="15.25" customWidth="1"/>
    <col min="1813" max="1813" width="14" customWidth="1"/>
    <col min="1817" max="1817" width="14.625" customWidth="1"/>
    <col min="1819" max="1819" width="12.75" customWidth="1"/>
    <col min="1823" max="1823" width="16.625" customWidth="1"/>
    <col min="1825" max="1825" width="12.375" customWidth="1"/>
    <col min="1827" max="1827" width="13.25" customWidth="1"/>
    <col min="1828" max="1828" width="11.75" customWidth="1"/>
    <col min="1829" max="1829" width="14.125" customWidth="1"/>
    <col min="2058" max="2058" width="13.125" customWidth="1"/>
    <col min="2061" max="2061" width="15.375" customWidth="1"/>
    <col min="2063" max="2063" width="12.875" customWidth="1"/>
    <col min="2067" max="2067" width="15.25" customWidth="1"/>
    <col min="2069" max="2069" width="14" customWidth="1"/>
    <col min="2073" max="2073" width="14.625" customWidth="1"/>
    <col min="2075" max="2075" width="12.75" customWidth="1"/>
    <col min="2079" max="2079" width="16.625" customWidth="1"/>
    <col min="2081" max="2081" width="12.375" customWidth="1"/>
    <col min="2083" max="2083" width="13.25" customWidth="1"/>
    <col min="2084" max="2084" width="11.75" customWidth="1"/>
    <col min="2085" max="2085" width="14.125" customWidth="1"/>
    <col min="2314" max="2314" width="13.125" customWidth="1"/>
    <col min="2317" max="2317" width="15.375" customWidth="1"/>
    <col min="2319" max="2319" width="12.875" customWidth="1"/>
    <col min="2323" max="2323" width="15.25" customWidth="1"/>
    <col min="2325" max="2325" width="14" customWidth="1"/>
    <col min="2329" max="2329" width="14.625" customWidth="1"/>
    <col min="2331" max="2331" width="12.75" customWidth="1"/>
    <col min="2335" max="2335" width="16.625" customWidth="1"/>
    <col min="2337" max="2337" width="12.375" customWidth="1"/>
    <col min="2339" max="2339" width="13.25" customWidth="1"/>
    <col min="2340" max="2340" width="11.75" customWidth="1"/>
    <col min="2341" max="2341" width="14.125" customWidth="1"/>
    <col min="2570" max="2570" width="13.125" customWidth="1"/>
    <col min="2573" max="2573" width="15.375" customWidth="1"/>
    <col min="2575" max="2575" width="12.875" customWidth="1"/>
    <col min="2579" max="2579" width="15.25" customWidth="1"/>
    <col min="2581" max="2581" width="14" customWidth="1"/>
    <col min="2585" max="2585" width="14.625" customWidth="1"/>
    <col min="2587" max="2587" width="12.75" customWidth="1"/>
    <col min="2591" max="2591" width="16.625" customWidth="1"/>
    <col min="2593" max="2593" width="12.375" customWidth="1"/>
    <col min="2595" max="2595" width="13.25" customWidth="1"/>
    <col min="2596" max="2596" width="11.75" customWidth="1"/>
    <col min="2597" max="2597" width="14.125" customWidth="1"/>
    <col min="2826" max="2826" width="13.125" customWidth="1"/>
    <col min="2829" max="2829" width="15.375" customWidth="1"/>
    <col min="2831" max="2831" width="12.875" customWidth="1"/>
    <col min="2835" max="2835" width="15.25" customWidth="1"/>
    <col min="2837" max="2837" width="14" customWidth="1"/>
    <col min="2841" max="2841" width="14.625" customWidth="1"/>
    <col min="2843" max="2843" width="12.75" customWidth="1"/>
    <col min="2847" max="2847" width="16.625" customWidth="1"/>
    <col min="2849" max="2849" width="12.375" customWidth="1"/>
    <col min="2851" max="2851" width="13.25" customWidth="1"/>
    <col min="2852" max="2852" width="11.75" customWidth="1"/>
    <col min="2853" max="2853" width="14.125" customWidth="1"/>
    <col min="3082" max="3082" width="13.125" customWidth="1"/>
    <col min="3085" max="3085" width="15.375" customWidth="1"/>
    <col min="3087" max="3087" width="12.875" customWidth="1"/>
    <col min="3091" max="3091" width="15.25" customWidth="1"/>
    <col min="3093" max="3093" width="14" customWidth="1"/>
    <col min="3097" max="3097" width="14.625" customWidth="1"/>
    <col min="3099" max="3099" width="12.75" customWidth="1"/>
    <col min="3103" max="3103" width="16.625" customWidth="1"/>
    <col min="3105" max="3105" width="12.375" customWidth="1"/>
    <col min="3107" max="3107" width="13.25" customWidth="1"/>
    <col min="3108" max="3108" width="11.75" customWidth="1"/>
    <col min="3109" max="3109" width="14.125" customWidth="1"/>
    <col min="3338" max="3338" width="13.125" customWidth="1"/>
    <col min="3341" max="3341" width="15.375" customWidth="1"/>
    <col min="3343" max="3343" width="12.875" customWidth="1"/>
    <col min="3347" max="3347" width="15.25" customWidth="1"/>
    <col min="3349" max="3349" width="14" customWidth="1"/>
    <col min="3353" max="3353" width="14.625" customWidth="1"/>
    <col min="3355" max="3355" width="12.75" customWidth="1"/>
    <col min="3359" max="3359" width="16.625" customWidth="1"/>
    <col min="3361" max="3361" width="12.375" customWidth="1"/>
    <col min="3363" max="3363" width="13.25" customWidth="1"/>
    <col min="3364" max="3364" width="11.75" customWidth="1"/>
    <col min="3365" max="3365" width="14.125" customWidth="1"/>
    <col min="3594" max="3594" width="13.125" customWidth="1"/>
    <col min="3597" max="3597" width="15.375" customWidth="1"/>
    <col min="3599" max="3599" width="12.875" customWidth="1"/>
    <col min="3603" max="3603" width="15.25" customWidth="1"/>
    <col min="3605" max="3605" width="14" customWidth="1"/>
    <col min="3609" max="3609" width="14.625" customWidth="1"/>
    <col min="3611" max="3611" width="12.75" customWidth="1"/>
    <col min="3615" max="3615" width="16.625" customWidth="1"/>
    <col min="3617" max="3617" width="12.375" customWidth="1"/>
    <col min="3619" max="3619" width="13.25" customWidth="1"/>
    <col min="3620" max="3620" width="11.75" customWidth="1"/>
    <col min="3621" max="3621" width="14.125" customWidth="1"/>
    <col min="3850" max="3850" width="13.125" customWidth="1"/>
    <col min="3853" max="3853" width="15.375" customWidth="1"/>
    <col min="3855" max="3855" width="12.875" customWidth="1"/>
    <col min="3859" max="3859" width="15.25" customWidth="1"/>
    <col min="3861" max="3861" width="14" customWidth="1"/>
    <col min="3865" max="3865" width="14.625" customWidth="1"/>
    <col min="3867" max="3867" width="12.75" customWidth="1"/>
    <col min="3871" max="3871" width="16.625" customWidth="1"/>
    <col min="3873" max="3873" width="12.375" customWidth="1"/>
    <col min="3875" max="3875" width="13.25" customWidth="1"/>
    <col min="3876" max="3876" width="11.75" customWidth="1"/>
    <col min="3877" max="3877" width="14.125" customWidth="1"/>
    <col min="4106" max="4106" width="13.125" customWidth="1"/>
    <col min="4109" max="4109" width="15.375" customWidth="1"/>
    <col min="4111" max="4111" width="12.875" customWidth="1"/>
    <col min="4115" max="4115" width="15.25" customWidth="1"/>
    <col min="4117" max="4117" width="14" customWidth="1"/>
    <col min="4121" max="4121" width="14.625" customWidth="1"/>
    <col min="4123" max="4123" width="12.75" customWidth="1"/>
    <col min="4127" max="4127" width="16.625" customWidth="1"/>
    <col min="4129" max="4129" width="12.375" customWidth="1"/>
    <col min="4131" max="4131" width="13.25" customWidth="1"/>
    <col min="4132" max="4132" width="11.75" customWidth="1"/>
    <col min="4133" max="4133" width="14.125" customWidth="1"/>
    <col min="4362" max="4362" width="13.125" customWidth="1"/>
    <col min="4365" max="4365" width="15.375" customWidth="1"/>
    <col min="4367" max="4367" width="12.875" customWidth="1"/>
    <col min="4371" max="4371" width="15.25" customWidth="1"/>
    <col min="4373" max="4373" width="14" customWidth="1"/>
    <col min="4377" max="4377" width="14.625" customWidth="1"/>
    <col min="4379" max="4379" width="12.75" customWidth="1"/>
    <col min="4383" max="4383" width="16.625" customWidth="1"/>
    <col min="4385" max="4385" width="12.375" customWidth="1"/>
    <col min="4387" max="4387" width="13.25" customWidth="1"/>
    <col min="4388" max="4388" width="11.75" customWidth="1"/>
    <col min="4389" max="4389" width="14.125" customWidth="1"/>
    <col min="4618" max="4618" width="13.125" customWidth="1"/>
    <col min="4621" max="4621" width="15.375" customWidth="1"/>
    <col min="4623" max="4623" width="12.875" customWidth="1"/>
    <col min="4627" max="4627" width="15.25" customWidth="1"/>
    <col min="4629" max="4629" width="14" customWidth="1"/>
    <col min="4633" max="4633" width="14.625" customWidth="1"/>
    <col min="4635" max="4635" width="12.75" customWidth="1"/>
    <col min="4639" max="4639" width="16.625" customWidth="1"/>
    <col min="4641" max="4641" width="12.375" customWidth="1"/>
    <col min="4643" max="4643" width="13.25" customWidth="1"/>
    <col min="4644" max="4644" width="11.75" customWidth="1"/>
    <col min="4645" max="4645" width="14.125" customWidth="1"/>
    <col min="4874" max="4874" width="13.125" customWidth="1"/>
    <col min="4877" max="4877" width="15.375" customWidth="1"/>
    <col min="4879" max="4879" width="12.875" customWidth="1"/>
    <col min="4883" max="4883" width="15.25" customWidth="1"/>
    <col min="4885" max="4885" width="14" customWidth="1"/>
    <col min="4889" max="4889" width="14.625" customWidth="1"/>
    <col min="4891" max="4891" width="12.75" customWidth="1"/>
    <col min="4895" max="4895" width="16.625" customWidth="1"/>
    <col min="4897" max="4897" width="12.375" customWidth="1"/>
    <col min="4899" max="4899" width="13.25" customWidth="1"/>
    <col min="4900" max="4900" width="11.75" customWidth="1"/>
    <col min="4901" max="4901" width="14.125" customWidth="1"/>
    <col min="5130" max="5130" width="13.125" customWidth="1"/>
    <col min="5133" max="5133" width="15.375" customWidth="1"/>
    <col min="5135" max="5135" width="12.875" customWidth="1"/>
    <col min="5139" max="5139" width="15.25" customWidth="1"/>
    <col min="5141" max="5141" width="14" customWidth="1"/>
    <col min="5145" max="5145" width="14.625" customWidth="1"/>
    <col min="5147" max="5147" width="12.75" customWidth="1"/>
    <col min="5151" max="5151" width="16.625" customWidth="1"/>
    <col min="5153" max="5153" width="12.375" customWidth="1"/>
    <col min="5155" max="5155" width="13.25" customWidth="1"/>
    <col min="5156" max="5156" width="11.75" customWidth="1"/>
    <col min="5157" max="5157" width="14.125" customWidth="1"/>
    <col min="5386" max="5386" width="13.125" customWidth="1"/>
    <col min="5389" max="5389" width="15.375" customWidth="1"/>
    <col min="5391" max="5391" width="12.875" customWidth="1"/>
    <col min="5395" max="5395" width="15.25" customWidth="1"/>
    <col min="5397" max="5397" width="14" customWidth="1"/>
    <col min="5401" max="5401" width="14.625" customWidth="1"/>
    <col min="5403" max="5403" width="12.75" customWidth="1"/>
    <col min="5407" max="5407" width="16.625" customWidth="1"/>
    <col min="5409" max="5409" width="12.375" customWidth="1"/>
    <col min="5411" max="5411" width="13.25" customWidth="1"/>
    <col min="5412" max="5412" width="11.75" customWidth="1"/>
    <col min="5413" max="5413" width="14.125" customWidth="1"/>
    <col min="5642" max="5642" width="13.125" customWidth="1"/>
    <col min="5645" max="5645" width="15.375" customWidth="1"/>
    <col min="5647" max="5647" width="12.875" customWidth="1"/>
    <col min="5651" max="5651" width="15.25" customWidth="1"/>
    <col min="5653" max="5653" width="14" customWidth="1"/>
    <col min="5657" max="5657" width="14.625" customWidth="1"/>
    <col min="5659" max="5659" width="12.75" customWidth="1"/>
    <col min="5663" max="5663" width="16.625" customWidth="1"/>
    <col min="5665" max="5665" width="12.375" customWidth="1"/>
    <col min="5667" max="5667" width="13.25" customWidth="1"/>
    <col min="5668" max="5668" width="11.75" customWidth="1"/>
    <col min="5669" max="5669" width="14.125" customWidth="1"/>
    <col min="5898" max="5898" width="13.125" customWidth="1"/>
    <col min="5901" max="5901" width="15.375" customWidth="1"/>
    <col min="5903" max="5903" width="12.875" customWidth="1"/>
    <col min="5907" max="5907" width="15.25" customWidth="1"/>
    <col min="5909" max="5909" width="14" customWidth="1"/>
    <col min="5913" max="5913" width="14.625" customWidth="1"/>
    <col min="5915" max="5915" width="12.75" customWidth="1"/>
    <col min="5919" max="5919" width="16.625" customWidth="1"/>
    <col min="5921" max="5921" width="12.375" customWidth="1"/>
    <col min="5923" max="5923" width="13.25" customWidth="1"/>
    <col min="5924" max="5924" width="11.75" customWidth="1"/>
    <col min="5925" max="5925" width="14.125" customWidth="1"/>
    <col min="6154" max="6154" width="13.125" customWidth="1"/>
    <col min="6157" max="6157" width="15.375" customWidth="1"/>
    <col min="6159" max="6159" width="12.875" customWidth="1"/>
    <col min="6163" max="6163" width="15.25" customWidth="1"/>
    <col min="6165" max="6165" width="14" customWidth="1"/>
    <col min="6169" max="6169" width="14.625" customWidth="1"/>
    <col min="6171" max="6171" width="12.75" customWidth="1"/>
    <col min="6175" max="6175" width="16.625" customWidth="1"/>
    <col min="6177" max="6177" width="12.375" customWidth="1"/>
    <col min="6179" max="6179" width="13.25" customWidth="1"/>
    <col min="6180" max="6180" width="11.75" customWidth="1"/>
    <col min="6181" max="6181" width="14.125" customWidth="1"/>
    <col min="6410" max="6410" width="13.125" customWidth="1"/>
    <col min="6413" max="6413" width="15.375" customWidth="1"/>
    <col min="6415" max="6415" width="12.875" customWidth="1"/>
    <col min="6419" max="6419" width="15.25" customWidth="1"/>
    <col min="6421" max="6421" width="14" customWidth="1"/>
    <col min="6425" max="6425" width="14.625" customWidth="1"/>
    <col min="6427" max="6427" width="12.75" customWidth="1"/>
    <col min="6431" max="6431" width="16.625" customWidth="1"/>
    <col min="6433" max="6433" width="12.375" customWidth="1"/>
    <col min="6435" max="6435" width="13.25" customWidth="1"/>
    <col min="6436" max="6436" width="11.75" customWidth="1"/>
    <col min="6437" max="6437" width="14.125" customWidth="1"/>
    <col min="6666" max="6666" width="13.125" customWidth="1"/>
    <col min="6669" max="6669" width="15.375" customWidth="1"/>
    <col min="6671" max="6671" width="12.875" customWidth="1"/>
    <col min="6675" max="6675" width="15.25" customWidth="1"/>
    <col min="6677" max="6677" width="14" customWidth="1"/>
    <col min="6681" max="6681" width="14.625" customWidth="1"/>
    <col min="6683" max="6683" width="12.75" customWidth="1"/>
    <col min="6687" max="6687" width="16.625" customWidth="1"/>
    <col min="6689" max="6689" width="12.375" customWidth="1"/>
    <col min="6691" max="6691" width="13.25" customWidth="1"/>
    <col min="6692" max="6692" width="11.75" customWidth="1"/>
    <col min="6693" max="6693" width="14.125" customWidth="1"/>
    <col min="6922" max="6922" width="13.125" customWidth="1"/>
    <col min="6925" max="6925" width="15.375" customWidth="1"/>
    <col min="6927" max="6927" width="12.875" customWidth="1"/>
    <col min="6931" max="6931" width="15.25" customWidth="1"/>
    <col min="6933" max="6933" width="14" customWidth="1"/>
    <col min="6937" max="6937" width="14.625" customWidth="1"/>
    <col min="6939" max="6939" width="12.75" customWidth="1"/>
    <col min="6943" max="6943" width="16.625" customWidth="1"/>
    <col min="6945" max="6945" width="12.375" customWidth="1"/>
    <col min="6947" max="6947" width="13.25" customWidth="1"/>
    <col min="6948" max="6948" width="11.75" customWidth="1"/>
    <col min="6949" max="6949" width="14.125" customWidth="1"/>
    <col min="7178" max="7178" width="13.125" customWidth="1"/>
    <col min="7181" max="7181" width="15.375" customWidth="1"/>
    <col min="7183" max="7183" width="12.875" customWidth="1"/>
    <col min="7187" max="7187" width="15.25" customWidth="1"/>
    <col min="7189" max="7189" width="14" customWidth="1"/>
    <col min="7193" max="7193" width="14.625" customWidth="1"/>
    <col min="7195" max="7195" width="12.75" customWidth="1"/>
    <col min="7199" max="7199" width="16.625" customWidth="1"/>
    <col min="7201" max="7201" width="12.375" customWidth="1"/>
    <col min="7203" max="7203" width="13.25" customWidth="1"/>
    <col min="7204" max="7204" width="11.75" customWidth="1"/>
    <col min="7205" max="7205" width="14.125" customWidth="1"/>
    <col min="7434" max="7434" width="13.125" customWidth="1"/>
    <col min="7437" max="7437" width="15.375" customWidth="1"/>
    <col min="7439" max="7439" width="12.875" customWidth="1"/>
    <col min="7443" max="7443" width="15.25" customWidth="1"/>
    <col min="7445" max="7445" width="14" customWidth="1"/>
    <col min="7449" max="7449" width="14.625" customWidth="1"/>
    <col min="7451" max="7451" width="12.75" customWidth="1"/>
    <col min="7455" max="7455" width="16.625" customWidth="1"/>
    <col min="7457" max="7457" width="12.375" customWidth="1"/>
    <col min="7459" max="7459" width="13.25" customWidth="1"/>
    <col min="7460" max="7460" width="11.75" customWidth="1"/>
    <col min="7461" max="7461" width="14.125" customWidth="1"/>
    <col min="7690" max="7690" width="13.125" customWidth="1"/>
    <col min="7693" max="7693" width="15.375" customWidth="1"/>
    <col min="7695" max="7695" width="12.875" customWidth="1"/>
    <col min="7699" max="7699" width="15.25" customWidth="1"/>
    <col min="7701" max="7701" width="14" customWidth="1"/>
    <col min="7705" max="7705" width="14.625" customWidth="1"/>
    <col min="7707" max="7707" width="12.75" customWidth="1"/>
    <col min="7711" max="7711" width="16.625" customWidth="1"/>
    <col min="7713" max="7713" width="12.375" customWidth="1"/>
    <col min="7715" max="7715" width="13.25" customWidth="1"/>
    <col min="7716" max="7716" width="11.75" customWidth="1"/>
    <col min="7717" max="7717" width="14.125" customWidth="1"/>
    <col min="7946" max="7946" width="13.125" customWidth="1"/>
    <col min="7949" max="7949" width="15.375" customWidth="1"/>
    <col min="7951" max="7951" width="12.875" customWidth="1"/>
    <col min="7955" max="7955" width="15.25" customWidth="1"/>
    <col min="7957" max="7957" width="14" customWidth="1"/>
    <col min="7961" max="7961" width="14.625" customWidth="1"/>
    <col min="7963" max="7963" width="12.75" customWidth="1"/>
    <col min="7967" max="7967" width="16.625" customWidth="1"/>
    <col min="7969" max="7969" width="12.375" customWidth="1"/>
    <col min="7971" max="7971" width="13.25" customWidth="1"/>
    <col min="7972" max="7972" width="11.75" customWidth="1"/>
    <col min="7973" max="7973" width="14.125" customWidth="1"/>
    <col min="8202" max="8202" width="13.125" customWidth="1"/>
    <col min="8205" max="8205" width="15.375" customWidth="1"/>
    <col min="8207" max="8207" width="12.875" customWidth="1"/>
    <col min="8211" max="8211" width="15.25" customWidth="1"/>
    <col min="8213" max="8213" width="14" customWidth="1"/>
    <col min="8217" max="8217" width="14.625" customWidth="1"/>
    <col min="8219" max="8219" width="12.75" customWidth="1"/>
    <col min="8223" max="8223" width="16.625" customWidth="1"/>
    <col min="8225" max="8225" width="12.375" customWidth="1"/>
    <col min="8227" max="8227" width="13.25" customWidth="1"/>
    <col min="8228" max="8228" width="11.75" customWidth="1"/>
    <col min="8229" max="8229" width="14.125" customWidth="1"/>
    <col min="8458" max="8458" width="13.125" customWidth="1"/>
    <col min="8461" max="8461" width="15.375" customWidth="1"/>
    <col min="8463" max="8463" width="12.875" customWidth="1"/>
    <col min="8467" max="8467" width="15.25" customWidth="1"/>
    <col min="8469" max="8469" width="14" customWidth="1"/>
    <col min="8473" max="8473" width="14.625" customWidth="1"/>
    <col min="8475" max="8475" width="12.75" customWidth="1"/>
    <col min="8479" max="8479" width="16.625" customWidth="1"/>
    <col min="8481" max="8481" width="12.375" customWidth="1"/>
    <col min="8483" max="8483" width="13.25" customWidth="1"/>
    <col min="8484" max="8484" width="11.75" customWidth="1"/>
    <col min="8485" max="8485" width="14.125" customWidth="1"/>
    <col min="8714" max="8714" width="13.125" customWidth="1"/>
    <col min="8717" max="8717" width="15.375" customWidth="1"/>
    <col min="8719" max="8719" width="12.875" customWidth="1"/>
    <col min="8723" max="8723" width="15.25" customWidth="1"/>
    <col min="8725" max="8725" width="14" customWidth="1"/>
    <col min="8729" max="8729" width="14.625" customWidth="1"/>
    <col min="8731" max="8731" width="12.75" customWidth="1"/>
    <col min="8735" max="8735" width="16.625" customWidth="1"/>
    <col min="8737" max="8737" width="12.375" customWidth="1"/>
    <col min="8739" max="8739" width="13.25" customWidth="1"/>
    <col min="8740" max="8740" width="11.75" customWidth="1"/>
    <col min="8741" max="8741" width="14.125" customWidth="1"/>
    <col min="8970" max="8970" width="13.125" customWidth="1"/>
    <col min="8973" max="8973" width="15.375" customWidth="1"/>
    <col min="8975" max="8975" width="12.875" customWidth="1"/>
    <col min="8979" max="8979" width="15.25" customWidth="1"/>
    <col min="8981" max="8981" width="14" customWidth="1"/>
    <col min="8985" max="8985" width="14.625" customWidth="1"/>
    <col min="8987" max="8987" width="12.75" customWidth="1"/>
    <col min="8991" max="8991" width="16.625" customWidth="1"/>
    <col min="8993" max="8993" width="12.375" customWidth="1"/>
    <col min="8995" max="8995" width="13.25" customWidth="1"/>
    <col min="8996" max="8996" width="11.75" customWidth="1"/>
    <col min="8997" max="8997" width="14.125" customWidth="1"/>
    <col min="9226" max="9226" width="13.125" customWidth="1"/>
    <col min="9229" max="9229" width="15.375" customWidth="1"/>
    <col min="9231" max="9231" width="12.875" customWidth="1"/>
    <col min="9235" max="9235" width="15.25" customWidth="1"/>
    <col min="9237" max="9237" width="14" customWidth="1"/>
    <col min="9241" max="9241" width="14.625" customWidth="1"/>
    <col min="9243" max="9243" width="12.75" customWidth="1"/>
    <col min="9247" max="9247" width="16.625" customWidth="1"/>
    <col min="9249" max="9249" width="12.375" customWidth="1"/>
    <col min="9251" max="9251" width="13.25" customWidth="1"/>
    <col min="9252" max="9252" width="11.75" customWidth="1"/>
    <col min="9253" max="9253" width="14.125" customWidth="1"/>
    <col min="9482" max="9482" width="13.125" customWidth="1"/>
    <col min="9485" max="9485" width="15.375" customWidth="1"/>
    <col min="9487" max="9487" width="12.875" customWidth="1"/>
    <col min="9491" max="9491" width="15.25" customWidth="1"/>
    <col min="9493" max="9493" width="14" customWidth="1"/>
    <col min="9497" max="9497" width="14.625" customWidth="1"/>
    <col min="9499" max="9499" width="12.75" customWidth="1"/>
    <col min="9503" max="9503" width="16.625" customWidth="1"/>
    <col min="9505" max="9505" width="12.375" customWidth="1"/>
    <col min="9507" max="9507" width="13.25" customWidth="1"/>
    <col min="9508" max="9508" width="11.75" customWidth="1"/>
    <col min="9509" max="9509" width="14.125" customWidth="1"/>
    <col min="9738" max="9738" width="13.125" customWidth="1"/>
    <col min="9741" max="9741" width="15.375" customWidth="1"/>
    <col min="9743" max="9743" width="12.875" customWidth="1"/>
    <col min="9747" max="9747" width="15.25" customWidth="1"/>
    <col min="9749" max="9749" width="14" customWidth="1"/>
    <col min="9753" max="9753" width="14.625" customWidth="1"/>
    <col min="9755" max="9755" width="12.75" customWidth="1"/>
    <col min="9759" max="9759" width="16.625" customWidth="1"/>
    <col min="9761" max="9761" width="12.375" customWidth="1"/>
    <col min="9763" max="9763" width="13.25" customWidth="1"/>
    <col min="9764" max="9764" width="11.75" customWidth="1"/>
    <col min="9765" max="9765" width="14.125" customWidth="1"/>
    <col min="9994" max="9994" width="13.125" customWidth="1"/>
    <col min="9997" max="9997" width="15.375" customWidth="1"/>
    <col min="9999" max="9999" width="12.875" customWidth="1"/>
    <col min="10003" max="10003" width="15.25" customWidth="1"/>
    <col min="10005" max="10005" width="14" customWidth="1"/>
    <col min="10009" max="10009" width="14.625" customWidth="1"/>
    <col min="10011" max="10011" width="12.75" customWidth="1"/>
    <col min="10015" max="10015" width="16.625" customWidth="1"/>
    <col min="10017" max="10017" width="12.375" customWidth="1"/>
    <col min="10019" max="10019" width="13.25" customWidth="1"/>
    <col min="10020" max="10020" width="11.75" customWidth="1"/>
    <col min="10021" max="10021" width="14.125" customWidth="1"/>
    <col min="10250" max="10250" width="13.125" customWidth="1"/>
    <col min="10253" max="10253" width="15.375" customWidth="1"/>
    <col min="10255" max="10255" width="12.875" customWidth="1"/>
    <col min="10259" max="10259" width="15.25" customWidth="1"/>
    <col min="10261" max="10261" width="14" customWidth="1"/>
    <col min="10265" max="10265" width="14.625" customWidth="1"/>
    <col min="10267" max="10267" width="12.75" customWidth="1"/>
    <col min="10271" max="10271" width="16.625" customWidth="1"/>
    <col min="10273" max="10273" width="12.375" customWidth="1"/>
    <col min="10275" max="10275" width="13.25" customWidth="1"/>
    <col min="10276" max="10276" width="11.75" customWidth="1"/>
    <col min="10277" max="10277" width="14.125" customWidth="1"/>
    <col min="10506" max="10506" width="13.125" customWidth="1"/>
    <col min="10509" max="10509" width="15.375" customWidth="1"/>
    <col min="10511" max="10511" width="12.875" customWidth="1"/>
    <col min="10515" max="10515" width="15.25" customWidth="1"/>
    <col min="10517" max="10517" width="14" customWidth="1"/>
    <col min="10521" max="10521" width="14.625" customWidth="1"/>
    <col min="10523" max="10523" width="12.75" customWidth="1"/>
    <col min="10527" max="10527" width="16.625" customWidth="1"/>
    <col min="10529" max="10529" width="12.375" customWidth="1"/>
    <col min="10531" max="10531" width="13.25" customWidth="1"/>
    <col min="10532" max="10532" width="11.75" customWidth="1"/>
    <col min="10533" max="10533" width="14.125" customWidth="1"/>
    <col min="10762" max="10762" width="13.125" customWidth="1"/>
    <col min="10765" max="10765" width="15.375" customWidth="1"/>
    <col min="10767" max="10767" width="12.875" customWidth="1"/>
    <col min="10771" max="10771" width="15.25" customWidth="1"/>
    <col min="10773" max="10773" width="14" customWidth="1"/>
    <col min="10777" max="10777" width="14.625" customWidth="1"/>
    <col min="10779" max="10779" width="12.75" customWidth="1"/>
    <col min="10783" max="10783" width="16.625" customWidth="1"/>
    <col min="10785" max="10785" width="12.375" customWidth="1"/>
    <col min="10787" max="10787" width="13.25" customWidth="1"/>
    <col min="10788" max="10788" width="11.75" customWidth="1"/>
    <col min="10789" max="10789" width="14.125" customWidth="1"/>
    <col min="11018" max="11018" width="13.125" customWidth="1"/>
    <col min="11021" max="11021" width="15.375" customWidth="1"/>
    <col min="11023" max="11023" width="12.875" customWidth="1"/>
    <col min="11027" max="11027" width="15.25" customWidth="1"/>
    <col min="11029" max="11029" width="14" customWidth="1"/>
    <col min="11033" max="11033" width="14.625" customWidth="1"/>
    <col min="11035" max="11035" width="12.75" customWidth="1"/>
    <col min="11039" max="11039" width="16.625" customWidth="1"/>
    <col min="11041" max="11041" width="12.375" customWidth="1"/>
    <col min="11043" max="11043" width="13.25" customWidth="1"/>
    <col min="11044" max="11044" width="11.75" customWidth="1"/>
    <col min="11045" max="11045" width="14.125" customWidth="1"/>
    <col min="11274" max="11274" width="13.125" customWidth="1"/>
    <col min="11277" max="11277" width="15.375" customWidth="1"/>
    <col min="11279" max="11279" width="12.875" customWidth="1"/>
    <col min="11283" max="11283" width="15.25" customWidth="1"/>
    <col min="11285" max="11285" width="14" customWidth="1"/>
    <col min="11289" max="11289" width="14.625" customWidth="1"/>
    <col min="11291" max="11291" width="12.75" customWidth="1"/>
    <col min="11295" max="11295" width="16.625" customWidth="1"/>
    <col min="11297" max="11297" width="12.375" customWidth="1"/>
    <col min="11299" max="11299" width="13.25" customWidth="1"/>
    <col min="11300" max="11300" width="11.75" customWidth="1"/>
    <col min="11301" max="11301" width="14.125" customWidth="1"/>
    <col min="11530" max="11530" width="13.125" customWidth="1"/>
    <col min="11533" max="11533" width="15.375" customWidth="1"/>
    <col min="11535" max="11535" width="12.875" customWidth="1"/>
    <col min="11539" max="11539" width="15.25" customWidth="1"/>
    <col min="11541" max="11541" width="14" customWidth="1"/>
    <col min="11545" max="11545" width="14.625" customWidth="1"/>
    <col min="11547" max="11547" width="12.75" customWidth="1"/>
    <col min="11551" max="11551" width="16.625" customWidth="1"/>
    <col min="11553" max="11553" width="12.375" customWidth="1"/>
    <col min="11555" max="11555" width="13.25" customWidth="1"/>
    <col min="11556" max="11556" width="11.75" customWidth="1"/>
    <col min="11557" max="11557" width="14.125" customWidth="1"/>
    <col min="11786" max="11786" width="13.125" customWidth="1"/>
    <col min="11789" max="11789" width="15.375" customWidth="1"/>
    <col min="11791" max="11791" width="12.875" customWidth="1"/>
    <col min="11795" max="11795" width="15.25" customWidth="1"/>
    <col min="11797" max="11797" width="14" customWidth="1"/>
    <col min="11801" max="11801" width="14.625" customWidth="1"/>
    <col min="11803" max="11803" width="12.75" customWidth="1"/>
    <col min="11807" max="11807" width="16.625" customWidth="1"/>
    <col min="11809" max="11809" width="12.375" customWidth="1"/>
    <col min="11811" max="11811" width="13.25" customWidth="1"/>
    <col min="11812" max="11812" width="11.75" customWidth="1"/>
    <col min="11813" max="11813" width="14.125" customWidth="1"/>
    <col min="12042" max="12042" width="13.125" customWidth="1"/>
    <col min="12045" max="12045" width="15.375" customWidth="1"/>
    <col min="12047" max="12047" width="12.875" customWidth="1"/>
    <col min="12051" max="12051" width="15.25" customWidth="1"/>
    <col min="12053" max="12053" width="14" customWidth="1"/>
    <col min="12057" max="12057" width="14.625" customWidth="1"/>
    <col min="12059" max="12059" width="12.75" customWidth="1"/>
    <col min="12063" max="12063" width="16.625" customWidth="1"/>
    <col min="12065" max="12065" width="12.375" customWidth="1"/>
    <col min="12067" max="12067" width="13.25" customWidth="1"/>
    <col min="12068" max="12068" width="11.75" customWidth="1"/>
    <col min="12069" max="12069" width="14.125" customWidth="1"/>
    <col min="12298" max="12298" width="13.125" customWidth="1"/>
    <col min="12301" max="12301" width="15.375" customWidth="1"/>
    <col min="12303" max="12303" width="12.875" customWidth="1"/>
    <col min="12307" max="12307" width="15.25" customWidth="1"/>
    <col min="12309" max="12309" width="14" customWidth="1"/>
    <col min="12313" max="12313" width="14.625" customWidth="1"/>
    <col min="12315" max="12315" width="12.75" customWidth="1"/>
    <col min="12319" max="12319" width="16.625" customWidth="1"/>
    <col min="12321" max="12321" width="12.375" customWidth="1"/>
    <col min="12323" max="12323" width="13.25" customWidth="1"/>
    <col min="12324" max="12324" width="11.75" customWidth="1"/>
    <col min="12325" max="12325" width="14.125" customWidth="1"/>
    <col min="12554" max="12554" width="13.125" customWidth="1"/>
    <col min="12557" max="12557" width="15.375" customWidth="1"/>
    <col min="12559" max="12559" width="12.875" customWidth="1"/>
    <col min="12563" max="12563" width="15.25" customWidth="1"/>
    <col min="12565" max="12565" width="14" customWidth="1"/>
    <col min="12569" max="12569" width="14.625" customWidth="1"/>
    <col min="12571" max="12571" width="12.75" customWidth="1"/>
    <col min="12575" max="12575" width="16.625" customWidth="1"/>
    <col min="12577" max="12577" width="12.375" customWidth="1"/>
    <col min="12579" max="12579" width="13.25" customWidth="1"/>
    <col min="12580" max="12580" width="11.75" customWidth="1"/>
    <col min="12581" max="12581" width="14.125" customWidth="1"/>
    <col min="12810" max="12810" width="13.125" customWidth="1"/>
    <col min="12813" max="12813" width="15.375" customWidth="1"/>
    <col min="12815" max="12815" width="12.875" customWidth="1"/>
    <col min="12819" max="12819" width="15.25" customWidth="1"/>
    <col min="12821" max="12821" width="14" customWidth="1"/>
    <col min="12825" max="12825" width="14.625" customWidth="1"/>
    <col min="12827" max="12827" width="12.75" customWidth="1"/>
    <col min="12831" max="12831" width="16.625" customWidth="1"/>
    <col min="12833" max="12833" width="12.375" customWidth="1"/>
    <col min="12835" max="12835" width="13.25" customWidth="1"/>
    <col min="12836" max="12836" width="11.75" customWidth="1"/>
    <col min="12837" max="12837" width="14.125" customWidth="1"/>
    <col min="13066" max="13066" width="13.125" customWidth="1"/>
    <col min="13069" max="13069" width="15.375" customWidth="1"/>
    <col min="13071" max="13071" width="12.875" customWidth="1"/>
    <col min="13075" max="13075" width="15.25" customWidth="1"/>
    <col min="13077" max="13077" width="14" customWidth="1"/>
    <col min="13081" max="13081" width="14.625" customWidth="1"/>
    <col min="13083" max="13083" width="12.75" customWidth="1"/>
    <col min="13087" max="13087" width="16.625" customWidth="1"/>
    <col min="13089" max="13089" width="12.375" customWidth="1"/>
    <col min="13091" max="13091" width="13.25" customWidth="1"/>
    <col min="13092" max="13092" width="11.75" customWidth="1"/>
    <col min="13093" max="13093" width="14.125" customWidth="1"/>
    <col min="13322" max="13322" width="13.125" customWidth="1"/>
    <col min="13325" max="13325" width="15.375" customWidth="1"/>
    <col min="13327" max="13327" width="12.875" customWidth="1"/>
    <col min="13331" max="13331" width="15.25" customWidth="1"/>
    <col min="13333" max="13333" width="14" customWidth="1"/>
    <col min="13337" max="13337" width="14.625" customWidth="1"/>
    <col min="13339" max="13339" width="12.75" customWidth="1"/>
    <col min="13343" max="13343" width="16.625" customWidth="1"/>
    <col min="13345" max="13345" width="12.375" customWidth="1"/>
    <col min="13347" max="13347" width="13.25" customWidth="1"/>
    <col min="13348" max="13348" width="11.75" customWidth="1"/>
    <col min="13349" max="13349" width="14.125" customWidth="1"/>
    <col min="13578" max="13578" width="13.125" customWidth="1"/>
    <col min="13581" max="13581" width="15.375" customWidth="1"/>
    <col min="13583" max="13583" width="12.875" customWidth="1"/>
    <col min="13587" max="13587" width="15.25" customWidth="1"/>
    <col min="13589" max="13589" width="14" customWidth="1"/>
    <col min="13593" max="13593" width="14.625" customWidth="1"/>
    <col min="13595" max="13595" width="12.75" customWidth="1"/>
    <col min="13599" max="13599" width="16.625" customWidth="1"/>
    <col min="13601" max="13601" width="12.375" customWidth="1"/>
    <col min="13603" max="13603" width="13.25" customWidth="1"/>
    <col min="13604" max="13604" width="11.75" customWidth="1"/>
    <col min="13605" max="13605" width="14.125" customWidth="1"/>
    <col min="13834" max="13834" width="13.125" customWidth="1"/>
    <col min="13837" max="13837" width="15.375" customWidth="1"/>
    <col min="13839" max="13839" width="12.875" customWidth="1"/>
    <col min="13843" max="13843" width="15.25" customWidth="1"/>
    <col min="13845" max="13845" width="14" customWidth="1"/>
    <col min="13849" max="13849" width="14.625" customWidth="1"/>
    <col min="13851" max="13851" width="12.75" customWidth="1"/>
    <col min="13855" max="13855" width="16.625" customWidth="1"/>
    <col min="13857" max="13857" width="12.375" customWidth="1"/>
    <col min="13859" max="13859" width="13.25" customWidth="1"/>
    <col min="13860" max="13860" width="11.75" customWidth="1"/>
    <col min="13861" max="13861" width="14.125" customWidth="1"/>
    <col min="14090" max="14090" width="13.125" customWidth="1"/>
    <col min="14093" max="14093" width="15.375" customWidth="1"/>
    <col min="14095" max="14095" width="12.875" customWidth="1"/>
    <col min="14099" max="14099" width="15.25" customWidth="1"/>
    <col min="14101" max="14101" width="14" customWidth="1"/>
    <col min="14105" max="14105" width="14.625" customWidth="1"/>
    <col min="14107" max="14107" width="12.75" customWidth="1"/>
    <col min="14111" max="14111" width="16.625" customWidth="1"/>
    <col min="14113" max="14113" width="12.375" customWidth="1"/>
    <col min="14115" max="14115" width="13.25" customWidth="1"/>
    <col min="14116" max="14116" width="11.75" customWidth="1"/>
    <col min="14117" max="14117" width="14.125" customWidth="1"/>
    <col min="14346" max="14346" width="13.125" customWidth="1"/>
    <col min="14349" max="14349" width="15.375" customWidth="1"/>
    <col min="14351" max="14351" width="12.875" customWidth="1"/>
    <col min="14355" max="14355" width="15.25" customWidth="1"/>
    <col min="14357" max="14357" width="14" customWidth="1"/>
    <col min="14361" max="14361" width="14.625" customWidth="1"/>
    <col min="14363" max="14363" width="12.75" customWidth="1"/>
    <col min="14367" max="14367" width="16.625" customWidth="1"/>
    <col min="14369" max="14369" width="12.375" customWidth="1"/>
    <col min="14371" max="14371" width="13.25" customWidth="1"/>
    <col min="14372" max="14372" width="11.75" customWidth="1"/>
    <col min="14373" max="14373" width="14.125" customWidth="1"/>
    <col min="14602" max="14602" width="13.125" customWidth="1"/>
    <col min="14605" max="14605" width="15.375" customWidth="1"/>
    <col min="14607" max="14607" width="12.875" customWidth="1"/>
    <col min="14611" max="14611" width="15.25" customWidth="1"/>
    <col min="14613" max="14613" width="14" customWidth="1"/>
    <col min="14617" max="14617" width="14.625" customWidth="1"/>
    <col min="14619" max="14619" width="12.75" customWidth="1"/>
    <col min="14623" max="14623" width="16.625" customWidth="1"/>
    <col min="14625" max="14625" width="12.375" customWidth="1"/>
    <col min="14627" max="14627" width="13.25" customWidth="1"/>
    <col min="14628" max="14628" width="11.75" customWidth="1"/>
    <col min="14629" max="14629" width="14.125" customWidth="1"/>
    <col min="14858" max="14858" width="13.125" customWidth="1"/>
    <col min="14861" max="14861" width="15.375" customWidth="1"/>
    <col min="14863" max="14863" width="12.875" customWidth="1"/>
    <col min="14867" max="14867" width="15.25" customWidth="1"/>
    <col min="14869" max="14869" width="14" customWidth="1"/>
    <col min="14873" max="14873" width="14.625" customWidth="1"/>
    <col min="14875" max="14875" width="12.75" customWidth="1"/>
    <col min="14879" max="14879" width="16.625" customWidth="1"/>
    <col min="14881" max="14881" width="12.375" customWidth="1"/>
    <col min="14883" max="14883" width="13.25" customWidth="1"/>
    <col min="14884" max="14884" width="11.75" customWidth="1"/>
    <col min="14885" max="14885" width="14.125" customWidth="1"/>
    <col min="15114" max="15114" width="13.125" customWidth="1"/>
    <col min="15117" max="15117" width="15.375" customWidth="1"/>
    <col min="15119" max="15119" width="12.875" customWidth="1"/>
    <col min="15123" max="15123" width="15.25" customWidth="1"/>
    <col min="15125" max="15125" width="14" customWidth="1"/>
    <col min="15129" max="15129" width="14.625" customWidth="1"/>
    <col min="15131" max="15131" width="12.75" customWidth="1"/>
    <col min="15135" max="15135" width="16.625" customWidth="1"/>
    <col min="15137" max="15137" width="12.375" customWidth="1"/>
    <col min="15139" max="15139" width="13.25" customWidth="1"/>
    <col min="15140" max="15140" width="11.75" customWidth="1"/>
    <col min="15141" max="15141" width="14.125" customWidth="1"/>
    <col min="15370" max="15370" width="13.125" customWidth="1"/>
    <col min="15373" max="15373" width="15.375" customWidth="1"/>
    <col min="15375" max="15375" width="12.875" customWidth="1"/>
    <col min="15379" max="15379" width="15.25" customWidth="1"/>
    <col min="15381" max="15381" width="14" customWidth="1"/>
    <col min="15385" max="15385" width="14.625" customWidth="1"/>
    <col min="15387" max="15387" width="12.75" customWidth="1"/>
    <col min="15391" max="15391" width="16.625" customWidth="1"/>
    <col min="15393" max="15393" width="12.375" customWidth="1"/>
    <col min="15395" max="15395" width="13.25" customWidth="1"/>
    <col min="15396" max="15396" width="11.75" customWidth="1"/>
    <col min="15397" max="15397" width="14.125" customWidth="1"/>
    <col min="15626" max="15626" width="13.125" customWidth="1"/>
    <col min="15629" max="15629" width="15.375" customWidth="1"/>
    <col min="15631" max="15631" width="12.875" customWidth="1"/>
    <col min="15635" max="15635" width="15.25" customWidth="1"/>
    <col min="15637" max="15637" width="14" customWidth="1"/>
    <col min="15641" max="15641" width="14.625" customWidth="1"/>
    <col min="15643" max="15643" width="12.75" customWidth="1"/>
    <col min="15647" max="15647" width="16.625" customWidth="1"/>
    <col min="15649" max="15649" width="12.375" customWidth="1"/>
    <col min="15651" max="15651" width="13.25" customWidth="1"/>
    <col min="15652" max="15652" width="11.75" customWidth="1"/>
    <col min="15653" max="15653" width="14.125" customWidth="1"/>
    <col min="15882" max="15882" width="13.125" customWidth="1"/>
    <col min="15885" max="15885" width="15.375" customWidth="1"/>
    <col min="15887" max="15887" width="12.875" customWidth="1"/>
    <col min="15891" max="15891" width="15.25" customWidth="1"/>
    <col min="15893" max="15893" width="14" customWidth="1"/>
    <col min="15897" max="15897" width="14.625" customWidth="1"/>
    <col min="15899" max="15899" width="12.75" customWidth="1"/>
    <col min="15903" max="15903" width="16.625" customWidth="1"/>
    <col min="15905" max="15905" width="12.375" customWidth="1"/>
    <col min="15907" max="15907" width="13.25" customWidth="1"/>
    <col min="15908" max="15908" width="11.75" customWidth="1"/>
    <col min="15909" max="15909" width="14.125" customWidth="1"/>
    <col min="16138" max="16138" width="13.125" customWidth="1"/>
    <col min="16141" max="16141" width="15.375" customWidth="1"/>
    <col min="16143" max="16143" width="12.875" customWidth="1"/>
    <col min="16147" max="16147" width="15.25" customWidth="1"/>
    <col min="16149" max="16149" width="14" customWidth="1"/>
    <col min="16153" max="16153" width="14.625" customWidth="1"/>
    <col min="16155" max="16155" width="12.75" customWidth="1"/>
    <col min="16159" max="16159" width="16.625" customWidth="1"/>
    <col min="16161" max="16161" width="12.375" customWidth="1"/>
    <col min="16163" max="16163" width="13.25" customWidth="1"/>
    <col min="16164" max="16164" width="11.75" customWidth="1"/>
    <col min="16165" max="16165" width="14.125" customWidth="1"/>
  </cols>
  <sheetData>
    <row r="1" spans="1:37">
      <c r="C1" s="73" t="str">
        <f>CourseList!B10</f>
        <v>ENG-311</v>
      </c>
      <c r="D1" s="73"/>
      <c r="E1" s="73"/>
      <c r="F1" s="73"/>
      <c r="G1" s="73"/>
      <c r="H1" s="73"/>
      <c r="I1" s="73"/>
      <c r="J1" s="41"/>
      <c r="K1" s="72" t="str">
        <f>CourseList!B11</f>
        <v>ENG-315</v>
      </c>
      <c r="L1" s="72"/>
      <c r="M1" s="72"/>
      <c r="N1" s="72"/>
      <c r="O1" s="72"/>
      <c r="P1" s="72"/>
      <c r="Q1" s="72"/>
      <c r="R1" s="41"/>
      <c r="S1" s="74" t="str">
        <f>CourseList!B12</f>
        <v>ENG-313</v>
      </c>
      <c r="T1" s="74"/>
      <c r="U1" s="74"/>
      <c r="V1" s="74"/>
      <c r="W1" s="74"/>
      <c r="X1" s="74"/>
      <c r="Y1" s="74"/>
      <c r="Z1" s="41"/>
      <c r="AA1" s="75" t="str">
        <f>CourseList!B13</f>
        <v>ENG-300</v>
      </c>
      <c r="AB1" s="75"/>
      <c r="AC1" s="75"/>
      <c r="AD1" s="75"/>
      <c r="AE1" s="75"/>
      <c r="AF1" s="75"/>
      <c r="AG1" s="75"/>
      <c r="AH1" s="41"/>
      <c r="AI1" s="65" t="s">
        <v>98</v>
      </c>
      <c r="AJ1" s="65" t="s">
        <v>99</v>
      </c>
      <c r="AK1" s="65" t="s">
        <v>100</v>
      </c>
    </row>
    <row r="2" spans="1:37">
      <c r="A2" s="50" t="s">
        <v>121</v>
      </c>
      <c r="B2" s="52" t="str" cm="1">
        <f t="array" ref="B2:B32">StudentList!B1:B31</f>
        <v>Student ID</v>
      </c>
      <c r="C2" s="50" t="s">
        <v>101</v>
      </c>
      <c r="D2" s="50" t="s">
        <v>102</v>
      </c>
      <c r="E2" s="50" t="s">
        <v>103</v>
      </c>
      <c r="F2" s="50" t="s">
        <v>104</v>
      </c>
      <c r="G2" s="50" t="s">
        <v>96</v>
      </c>
      <c r="H2" s="50" t="s">
        <v>100</v>
      </c>
      <c r="I2" s="50" t="s">
        <v>105</v>
      </c>
      <c r="J2" s="41"/>
      <c r="K2" s="50" t="s">
        <v>101</v>
      </c>
      <c r="L2" s="50" t="s">
        <v>102</v>
      </c>
      <c r="M2" s="50" t="s">
        <v>103</v>
      </c>
      <c r="N2" s="50" t="s">
        <v>104</v>
      </c>
      <c r="O2" s="50" t="s">
        <v>96</v>
      </c>
      <c r="P2" s="50" t="s">
        <v>100</v>
      </c>
      <c r="Q2" s="50" t="s">
        <v>105</v>
      </c>
      <c r="R2" s="41"/>
      <c r="S2" s="50" t="s">
        <v>101</v>
      </c>
      <c r="T2" s="50" t="s">
        <v>102</v>
      </c>
      <c r="U2" s="50" t="s">
        <v>103</v>
      </c>
      <c r="V2" s="50" t="s">
        <v>104</v>
      </c>
      <c r="W2" s="50" t="s">
        <v>96</v>
      </c>
      <c r="X2" s="50" t="s">
        <v>100</v>
      </c>
      <c r="Y2" s="50" t="s">
        <v>105</v>
      </c>
      <c r="Z2" s="41"/>
      <c r="AA2" s="50" t="s">
        <v>101</v>
      </c>
      <c r="AB2" s="50" t="s">
        <v>102</v>
      </c>
      <c r="AC2" s="50" t="s">
        <v>103</v>
      </c>
      <c r="AD2" s="50" t="s">
        <v>104</v>
      </c>
      <c r="AE2" s="50" t="s">
        <v>96</v>
      </c>
      <c r="AF2" s="50" t="s">
        <v>100</v>
      </c>
      <c r="AG2" s="50" t="s">
        <v>105</v>
      </c>
      <c r="AH2" s="41"/>
      <c r="AI2" s="65"/>
      <c r="AJ2" s="65"/>
      <c r="AK2" s="65"/>
    </row>
    <row r="3" spans="1:37">
      <c r="A3" s="51">
        <v>1</v>
      </c>
      <c r="B3" s="51">
        <v>2011236001</v>
      </c>
      <c r="C3" s="51">
        <v>20</v>
      </c>
      <c r="D3" s="51">
        <v>62</v>
      </c>
      <c r="E3" s="51">
        <v>30</v>
      </c>
      <c r="F3" s="51">
        <f>SUM(C3,D3,IF(E3&gt;29,10,IF(E3&gt;26,9,IF(E3&gt;23,8,IF(E3&gt;20,7,IF(E3&gt;17,6,0))))))</f>
        <v>92</v>
      </c>
      <c r="G3" s="51">
        <v>3</v>
      </c>
      <c r="H3" s="51" t="str">
        <f>LOOKUP(F3,{0,40,45,50,55,60,65,70,75,80,100},{"F","C-","C","C+","B-","B","B+","A-","A","A+","Invalid Entry"})</f>
        <v>A+</v>
      </c>
      <c r="I3" s="51">
        <f>LOOKUP(F3,{0,40,45,50,55,60,65,70,75,80,100},{0,2,2.25,2.5,2.75,3,3.25,3.5,3.75,4,"Invalid Entry"})</f>
        <v>4</v>
      </c>
      <c r="J3" s="42"/>
      <c r="K3" s="51">
        <v>19</v>
      </c>
      <c r="L3" s="51">
        <v>70</v>
      </c>
      <c r="M3" s="51">
        <v>30</v>
      </c>
      <c r="N3" s="51">
        <f>SUM(K3,L3,IF(M3&gt;29,10,IF(M3&gt;26,9,IF(M3&gt;23,8,IF(M3&gt;20,7,IF(M3&gt;17,6,0))))))</f>
        <v>99</v>
      </c>
      <c r="O3" s="51">
        <v>2</v>
      </c>
      <c r="P3" s="51" t="str">
        <f>LOOKUP(N3,{0,40,45,50,55,60,65,70,75,80,100},{"F","C-","C","C+","B-","B","B+","A-","A","A+","Invalid Entry"})</f>
        <v>A+</v>
      </c>
      <c r="Q3" s="51">
        <f>LOOKUP(N3,{0,40,45,50,55,60,65,70,75,80,100},{0,2,2.25,2.5,2.75,3,3.25,3.5,3.75,4,"Invalid Entry"})</f>
        <v>4</v>
      </c>
      <c r="R3" s="42"/>
      <c r="S3" s="51">
        <v>20</v>
      </c>
      <c r="T3" s="51">
        <v>50</v>
      </c>
      <c r="U3" s="51">
        <v>30</v>
      </c>
      <c r="V3" s="51">
        <f>SUM(S3,T3,IF(U3&gt;29,10,IF(U3&gt;26,9,IF(U3&gt;23,8,IF(U3&gt;20,7,IF(U3&gt;17,6,0))))))</f>
        <v>80</v>
      </c>
      <c r="W3" s="51">
        <v>2</v>
      </c>
      <c r="X3" s="51" t="str">
        <f>LOOKUP(V3,{0,40,45,50,55,60,65,70,75,80,100},{"F","C-","C","C+","B-","B","B+","A-","A","A+","Invalid Entry"})</f>
        <v>A+</v>
      </c>
      <c r="Y3" s="51">
        <f>LOOKUP(V3,{0,40,45,50,55,60,65,70,75,80,100},{0,2,2.25,2.5,2.75,3,3.25,3.5,3.75,4,"Invalid Entry"})</f>
        <v>4</v>
      </c>
      <c r="Z3" s="42"/>
      <c r="AA3" s="51">
        <v>17</v>
      </c>
      <c r="AB3" s="51">
        <v>60</v>
      </c>
      <c r="AC3" s="51">
        <v>30</v>
      </c>
      <c r="AD3" s="51">
        <f>SUM(AA3,AB3,IF(AC3&gt;29,10,IF(AC3&gt;26,9,IF(AC3&gt;23,8,IF(AC3&gt;20,7,IF(AC3&gt;17,6,0))))))</f>
        <v>87</v>
      </c>
      <c r="AE3" s="51">
        <v>4</v>
      </c>
      <c r="AF3" s="51" t="str">
        <f>LOOKUP(AD3,{0,40,45,50,55,60,65,70,75,80,100},{"F","C-","C","C+","B-","B","B+","A-","A","A+","Invalid Entry"})</f>
        <v>A+</v>
      </c>
      <c r="AG3" s="51">
        <f>LOOKUP(AD3,{0,40,45,50,55,60,65,70,75,80,100},{0,2,2.25,2.5,2.75,3,3.25,3.5,3.75,4,"Invalid Entry"})</f>
        <v>4</v>
      </c>
      <c r="AH3" s="42"/>
      <c r="AI3" s="51">
        <f>SUM(G3,O3,W3,AE3)</f>
        <v>11</v>
      </c>
      <c r="AJ3" s="51">
        <f>ROUND(SUM(PRODUCT(I3,G3),PRODUCT(Q3,O3),PRODUCT(Y3,W3),PRODUCT(AG3,AE3))/AI3,2)</f>
        <v>4</v>
      </c>
      <c r="AK3" s="51" t="str">
        <f>LOOKUP(AJ3,{0,2,2.25,2.5,2.75,3,3.25,3.5,3.75,4},{"F","C-","C","C+","B-","B","B+","A-","A","A+"})</f>
        <v>A+</v>
      </c>
    </row>
    <row r="4" spans="1:37">
      <c r="A4" s="51">
        <v>2</v>
      </c>
      <c r="B4" s="51">
        <v>2011236002</v>
      </c>
      <c r="C4" s="51">
        <v>11</v>
      </c>
      <c r="D4" s="51">
        <v>53</v>
      </c>
      <c r="E4" s="51">
        <v>30</v>
      </c>
      <c r="F4" s="51">
        <f t="shared" ref="F4:F32" si="0">SUM(C4,D4,IF(E4&gt;29,10,IF(E4&gt;26,9,IF(E4&gt;23,8,IF(E4&gt;20,7,IF(E4&gt;17,6,0))))))</f>
        <v>74</v>
      </c>
      <c r="G4" s="51">
        <v>3</v>
      </c>
      <c r="H4" s="51" t="str">
        <f>LOOKUP(F4,{0,40,45,50,55,60,65,70,75,80,100},{"F","C-","C","C+","B-","B","B+","A-","A","A+","Invalid Entry"})</f>
        <v>A-</v>
      </c>
      <c r="I4" s="51">
        <f>LOOKUP(F4,{0,40,45,50,55,60,65,70,75,80,100},{0,2,2.25,2.5,2.75,3,3.25,3.5,3.75,4,"Invalid Entry"})</f>
        <v>3.5</v>
      </c>
      <c r="J4" s="42"/>
      <c r="K4" s="51">
        <v>12</v>
      </c>
      <c r="L4" s="51">
        <v>42</v>
      </c>
      <c r="M4" s="51">
        <v>30</v>
      </c>
      <c r="N4" s="51">
        <f t="shared" ref="N4:N32" si="1">SUM(K4,L4,IF(M4&gt;29,10,IF(M4&gt;26,9,IF(M4&gt;23,8,IF(M4&gt;20,7,IF(M4&gt;17,6,0))))))</f>
        <v>64</v>
      </c>
      <c r="O4" s="51">
        <v>2</v>
      </c>
      <c r="P4" s="51" t="str">
        <f>LOOKUP(N4,{0,40,45,50,55,60,65,70,75,80,100},{"F","C-","C","C+","B-","B","B+","A-","A","A+","Invalid Entry"})</f>
        <v>B</v>
      </c>
      <c r="Q4" s="51">
        <f>LOOKUP(N4,{0,40,45,50,55,60,65,70,75,80,100},{0,2,2.25,2.5,2.75,3,3.25,3.5,3.75,4,"Invalid Entry"})</f>
        <v>3</v>
      </c>
      <c r="R4" s="42"/>
      <c r="S4" s="51">
        <v>15</v>
      </c>
      <c r="T4" s="51">
        <v>53</v>
      </c>
      <c r="U4" s="51">
        <v>30</v>
      </c>
      <c r="V4" s="51">
        <f t="shared" ref="V4:V32" si="2">SUM(S4,T4,IF(U4&gt;29,10,IF(U4&gt;26,9,IF(U4&gt;23,8,IF(U4&gt;20,7,IF(U4&gt;17,6,0))))))</f>
        <v>78</v>
      </c>
      <c r="W4" s="51">
        <v>2</v>
      </c>
      <c r="X4" s="51" t="str">
        <f>LOOKUP(V4,{0,40,45,50,55,60,65,70,75,80,100},{"F","C-","C","C+","B-","B","B+","A-","A","A+","Invalid Entry"})</f>
        <v>A</v>
      </c>
      <c r="Y4" s="51">
        <f>LOOKUP(V4,{0,40,45,50,55,60,65,70,75,80,100},{0,2,2.25,2.5,2.75,3,3.25,3.5,3.75,4,"Invalid Entry"})</f>
        <v>3.75</v>
      </c>
      <c r="Z4" s="42"/>
      <c r="AA4" s="51">
        <v>18</v>
      </c>
      <c r="AB4" s="51">
        <v>58</v>
      </c>
      <c r="AC4" s="51">
        <v>30</v>
      </c>
      <c r="AD4" s="51">
        <f t="shared" ref="AD4:AD32" si="3">SUM(AA4,AB4,IF(AC4&gt;29,10,IF(AC4&gt;26,9,IF(AC4&gt;23,8,IF(AC4&gt;20,7,IF(AC4&gt;17,6,0))))))</f>
        <v>86</v>
      </c>
      <c r="AE4" s="51">
        <v>4</v>
      </c>
      <c r="AF4" s="51" t="str">
        <f>LOOKUP(AD4,{0,40,45,50,55,60,65,70,75,80,100},{"F","C-","C","C+","B-","B","B+","A-","A","A+","Invalid Entry"})</f>
        <v>A+</v>
      </c>
      <c r="AG4" s="51">
        <f>LOOKUP(AD4,{0,40,45,50,55,60,65,70,75,80,100},{0,2,2.25,2.5,2.75,3,3.25,3.5,3.75,4,"Invalid Entry"})</f>
        <v>4</v>
      </c>
      <c r="AH4" s="42"/>
      <c r="AI4" s="51">
        <f>SUM(G4,O4,W4,AE4)</f>
        <v>11</v>
      </c>
      <c r="AJ4" s="51">
        <f t="shared" ref="AJ4:AJ32" si="4">ROUND(SUM(PRODUCT(I4,G4),PRODUCT(Q4,O4),PRODUCT(Y4,W4),PRODUCT(AG4,AE4))/AI4,2)</f>
        <v>3.64</v>
      </c>
      <c r="AK4" s="51" t="str">
        <f>LOOKUP(AJ4,{0,2,2.25,2.5,2.75,3,3.25,3.5,3.75,4},{"F","C-","C","C+","B-","B","B+","A-","A","A+"})</f>
        <v>A-</v>
      </c>
    </row>
    <row r="5" spans="1:37">
      <c r="A5" s="51">
        <v>3</v>
      </c>
      <c r="B5" s="51">
        <v>2011236003</v>
      </c>
      <c r="C5" s="51">
        <v>19</v>
      </c>
      <c r="D5" s="51">
        <v>49</v>
      </c>
      <c r="E5" s="51">
        <v>26</v>
      </c>
      <c r="F5" s="51">
        <f t="shared" si="0"/>
        <v>76</v>
      </c>
      <c r="G5" s="51">
        <v>3</v>
      </c>
      <c r="H5" s="51" t="str">
        <f>LOOKUP(F5,{0,40,45,50,55,60,65,70,75,80,100},{"F","C-","C","C+","B-","B","B+","A-","A","A+","Invalid Entry"})</f>
        <v>A</v>
      </c>
      <c r="I5" s="51">
        <f>LOOKUP(F5,{0,40,45,50,55,60,65,70,75,80,100},{0,2,2.25,2.5,2.75,3,3.25,3.5,3.75,4,"Invalid Entry"})</f>
        <v>3.75</v>
      </c>
      <c r="J5" s="42"/>
      <c r="K5" s="51">
        <v>13</v>
      </c>
      <c r="L5" s="51">
        <v>63</v>
      </c>
      <c r="M5" s="51">
        <v>26</v>
      </c>
      <c r="N5" s="51">
        <f t="shared" si="1"/>
        <v>84</v>
      </c>
      <c r="O5" s="51">
        <v>2</v>
      </c>
      <c r="P5" s="51" t="str">
        <f>LOOKUP(N5,{0,40,45,50,55,60,65,70,75,80,100},{"F","C-","C","C+","B-","B","B+","A-","A","A+","Invalid Entry"})</f>
        <v>A+</v>
      </c>
      <c r="Q5" s="51">
        <f>LOOKUP(N5,{0,40,45,50,55,60,65,70,75,80,100},{0,2,2.25,2.5,2.75,3,3.25,3.5,3.75,4,"Invalid Entry"})</f>
        <v>4</v>
      </c>
      <c r="R5" s="42"/>
      <c r="S5" s="51">
        <v>20</v>
      </c>
      <c r="T5" s="51">
        <v>62</v>
      </c>
      <c r="U5" s="51">
        <v>26</v>
      </c>
      <c r="V5" s="51">
        <f t="shared" si="2"/>
        <v>90</v>
      </c>
      <c r="W5" s="51">
        <v>2</v>
      </c>
      <c r="X5" s="51" t="str">
        <f>LOOKUP(V5,{0,40,45,50,55,60,65,70,75,80,100},{"F","C-","C","C+","B-","B","B+","A-","A","A+","Invalid Entry"})</f>
        <v>A+</v>
      </c>
      <c r="Y5" s="51">
        <f>LOOKUP(V5,{0,40,45,50,55,60,65,70,75,80,100},{0,2,2.25,2.5,2.75,3,3.25,3.5,3.75,4,"Invalid Entry"})</f>
        <v>4</v>
      </c>
      <c r="Z5" s="42"/>
      <c r="AA5" s="51">
        <v>11</v>
      </c>
      <c r="AB5" s="51">
        <v>61</v>
      </c>
      <c r="AC5" s="51">
        <v>26</v>
      </c>
      <c r="AD5" s="51">
        <f t="shared" si="3"/>
        <v>80</v>
      </c>
      <c r="AE5" s="51">
        <v>4</v>
      </c>
      <c r="AF5" s="51" t="str">
        <f>LOOKUP(AD5,{0,40,45,50,55,60,65,70,75,80,100},{"F","C-","C","C+","B-","B","B+","A-","A","A+","Invalid Entry"})</f>
        <v>A+</v>
      </c>
      <c r="AG5" s="51">
        <f>LOOKUP(AD5,{0,40,45,50,55,60,65,70,75,80,100},{0,2,2.25,2.5,2.75,3,3.25,3.5,3.75,4,"Invalid Entry"})</f>
        <v>4</v>
      </c>
      <c r="AH5" s="42"/>
      <c r="AI5" s="51">
        <f t="shared" ref="AI5:AI32" si="5">SUM(G5,O5,W5,AE5)</f>
        <v>11</v>
      </c>
      <c r="AJ5" s="51">
        <f t="shared" si="4"/>
        <v>3.93</v>
      </c>
      <c r="AK5" s="51" t="str">
        <f>LOOKUP(AJ5,{0,2,2.25,2.5,2.75,3,3.25,3.5,3.75,4},{"F","C-","C","C+","B-","B","B+","A-","A","A+"})</f>
        <v>A</v>
      </c>
    </row>
    <row r="6" spans="1:37">
      <c r="A6" s="51">
        <v>4</v>
      </c>
      <c r="B6" s="51">
        <v>2011236004</v>
      </c>
      <c r="C6" s="51">
        <v>15</v>
      </c>
      <c r="D6" s="51">
        <v>52</v>
      </c>
      <c r="E6" s="51">
        <v>31</v>
      </c>
      <c r="F6" s="51">
        <f t="shared" si="0"/>
        <v>77</v>
      </c>
      <c r="G6" s="51">
        <v>3</v>
      </c>
      <c r="H6" s="51" t="str">
        <f>LOOKUP(F6,{0,40,45,50,55,60,65,70,75,80,100},{"F","C-","C","C+","B-","B","B+","A-","A","A+","Invalid Entry"})</f>
        <v>A</v>
      </c>
      <c r="I6" s="51">
        <f>LOOKUP(F6,{0,40,45,50,55,60,65,70,75,80,100},{0,2,2.25,2.5,2.75,3,3.25,3.5,3.75,4,"Invalid Entry"})</f>
        <v>3.75</v>
      </c>
      <c r="J6" s="42"/>
      <c r="K6" s="51">
        <v>14</v>
      </c>
      <c r="L6" s="51">
        <v>56</v>
      </c>
      <c r="M6" s="51">
        <v>31</v>
      </c>
      <c r="N6" s="51">
        <f t="shared" si="1"/>
        <v>80</v>
      </c>
      <c r="O6" s="51">
        <v>2</v>
      </c>
      <c r="P6" s="51" t="str">
        <f>LOOKUP(N6,{0,40,45,50,55,60,65,70,75,80,100},{"F","C-","C","C+","B-","B","B+","A-","A","A+","Invalid Entry"})</f>
        <v>A+</v>
      </c>
      <c r="Q6" s="51">
        <f>LOOKUP(N6,{0,40,45,50,55,60,65,70,75,80,100},{0,2,2.25,2.5,2.75,3,3.25,3.5,3.75,4,"Invalid Entry"})</f>
        <v>4</v>
      </c>
      <c r="R6" s="42"/>
      <c r="S6" s="51">
        <v>10</v>
      </c>
      <c r="T6" s="51">
        <v>53</v>
      </c>
      <c r="U6" s="51">
        <v>31</v>
      </c>
      <c r="V6" s="51">
        <f t="shared" si="2"/>
        <v>73</v>
      </c>
      <c r="W6" s="51">
        <v>2</v>
      </c>
      <c r="X6" s="51" t="str">
        <f>LOOKUP(V6,{0,40,45,50,55,60,65,70,75,80,100},{"F","C-","C","C+","B-","B","B+","A-","A","A+","Invalid Entry"})</f>
        <v>A-</v>
      </c>
      <c r="Y6" s="51">
        <f>LOOKUP(V6,{0,40,45,50,55,60,65,70,75,80,100},{0,2,2.25,2.5,2.75,3,3.25,3.5,3.75,4,"Invalid Entry"})</f>
        <v>3.5</v>
      </c>
      <c r="Z6" s="42"/>
      <c r="AA6" s="51">
        <v>16</v>
      </c>
      <c r="AB6" s="51">
        <v>59</v>
      </c>
      <c r="AC6" s="51">
        <v>31</v>
      </c>
      <c r="AD6" s="51">
        <f t="shared" si="3"/>
        <v>85</v>
      </c>
      <c r="AE6" s="51">
        <v>4</v>
      </c>
      <c r="AF6" s="51" t="str">
        <f>LOOKUP(AD6,{0,40,45,50,55,60,65,70,75,80,100},{"F","C-","C","C+","B-","B","B+","A-","A","A+","Invalid Entry"})</f>
        <v>A+</v>
      </c>
      <c r="AG6" s="51">
        <f>LOOKUP(AD6,{0,40,45,50,55,60,65,70,75,80,100},{0,2,2.25,2.5,2.75,3,3.25,3.5,3.75,4,"Invalid Entry"})</f>
        <v>4</v>
      </c>
      <c r="AH6" s="42"/>
      <c r="AI6" s="51">
        <f t="shared" si="5"/>
        <v>11</v>
      </c>
      <c r="AJ6" s="51">
        <f t="shared" si="4"/>
        <v>3.84</v>
      </c>
      <c r="AK6" s="51" t="str">
        <f>LOOKUP(AJ6,{0,2,2.25,2.5,2.75,3,3.25,3.5,3.75,4},{"F","C-","C","C+","B-","B","B+","A-","A","A+"})</f>
        <v>A</v>
      </c>
    </row>
    <row r="7" spans="1:37">
      <c r="A7" s="51">
        <v>5</v>
      </c>
      <c r="B7" s="51">
        <v>2011236005</v>
      </c>
      <c r="C7" s="51">
        <v>19</v>
      </c>
      <c r="D7" s="51">
        <v>70</v>
      </c>
      <c r="E7" s="51">
        <v>25</v>
      </c>
      <c r="F7" s="51">
        <f t="shared" si="0"/>
        <v>97</v>
      </c>
      <c r="G7" s="51">
        <v>3</v>
      </c>
      <c r="H7" s="51" t="str">
        <f>LOOKUP(F7,{0,40,45,50,55,60,65,70,75,80,100},{"F","C-","C","C+","B-","B","B+","A-","A","A+","Invalid Entry"})</f>
        <v>A+</v>
      </c>
      <c r="I7" s="51">
        <f>LOOKUP(F7,{0,40,45,50,55,60,65,70,75,80,100},{0,2,2.25,2.5,2.75,3,3.25,3.5,3.75,4,"Invalid Entry"})</f>
        <v>4</v>
      </c>
      <c r="J7" s="42"/>
      <c r="K7" s="51">
        <v>19</v>
      </c>
      <c r="L7" s="51">
        <v>42</v>
      </c>
      <c r="M7" s="51">
        <v>25</v>
      </c>
      <c r="N7" s="51">
        <f t="shared" si="1"/>
        <v>69</v>
      </c>
      <c r="O7" s="51">
        <v>2</v>
      </c>
      <c r="P7" s="51" t="str">
        <f>LOOKUP(N7,{0,40,45,50,55,60,65,70,75,80,100},{"F","C-","C","C+","B-","B","B+","A-","A","A+","Invalid Entry"})</f>
        <v>B+</v>
      </c>
      <c r="Q7" s="51">
        <f>LOOKUP(N7,{0,40,45,50,55,60,65,70,75,80,100},{0,2,2.25,2.5,2.75,3,3.25,3.5,3.75,4,"Invalid Entry"})</f>
        <v>3.25</v>
      </c>
      <c r="R7" s="42"/>
      <c r="S7" s="51">
        <v>17</v>
      </c>
      <c r="T7" s="51">
        <v>48</v>
      </c>
      <c r="U7" s="51">
        <v>25</v>
      </c>
      <c r="V7" s="51">
        <f t="shared" si="2"/>
        <v>73</v>
      </c>
      <c r="W7" s="51">
        <v>2</v>
      </c>
      <c r="X7" s="51" t="str">
        <f>LOOKUP(V7,{0,40,45,50,55,60,65,70,75,80,100},{"F","C-","C","C+","B-","B","B+","A-","A","A+","Invalid Entry"})</f>
        <v>A-</v>
      </c>
      <c r="Y7" s="51">
        <f>LOOKUP(V7,{0,40,45,50,55,60,65,70,75,80,100},{0,2,2.25,2.5,2.75,3,3.25,3.5,3.75,4,"Invalid Entry"})</f>
        <v>3.5</v>
      </c>
      <c r="Z7" s="42"/>
      <c r="AA7" s="51">
        <v>10</v>
      </c>
      <c r="AB7" s="51">
        <v>49</v>
      </c>
      <c r="AC7" s="51">
        <v>25</v>
      </c>
      <c r="AD7" s="51">
        <f t="shared" si="3"/>
        <v>67</v>
      </c>
      <c r="AE7" s="51">
        <v>4</v>
      </c>
      <c r="AF7" s="51" t="str">
        <f>LOOKUP(AD7,{0,40,45,50,55,60,65,70,75,80,100},{"F","C-","C","C+","B-","B","B+","A-","A","A+","Invalid Entry"})</f>
        <v>B+</v>
      </c>
      <c r="AG7" s="51">
        <f>LOOKUP(AD7,{0,40,45,50,55,60,65,70,75,80,100},{0,2,2.25,2.5,2.75,3,3.25,3.5,3.75,4,"Invalid Entry"})</f>
        <v>3.25</v>
      </c>
      <c r="AH7" s="42"/>
      <c r="AI7" s="51">
        <f t="shared" si="5"/>
        <v>11</v>
      </c>
      <c r="AJ7" s="51">
        <f t="shared" si="4"/>
        <v>3.5</v>
      </c>
      <c r="AK7" s="51" t="str">
        <f>LOOKUP(AJ7,{0,2,2.25,2.5,2.75,3,3.25,3.5,3.75,4},{"F","C-","C","C+","B-","B","B+","A-","A","A+"})</f>
        <v>A-</v>
      </c>
    </row>
    <row r="8" spans="1:37">
      <c r="A8" s="51">
        <v>6</v>
      </c>
      <c r="B8" s="51">
        <v>2011236006</v>
      </c>
      <c r="C8" s="51">
        <v>14</v>
      </c>
      <c r="D8" s="51">
        <v>69</v>
      </c>
      <c r="E8" s="51">
        <v>21</v>
      </c>
      <c r="F8" s="51">
        <f t="shared" si="0"/>
        <v>90</v>
      </c>
      <c r="G8" s="51">
        <v>3</v>
      </c>
      <c r="H8" s="51" t="str">
        <f>LOOKUP(F8,{0,40,45,50,55,60,65,70,75,80,100},{"F","C-","C","C+","B-","B","B+","A-","A","A+","Invalid Entry"})</f>
        <v>A+</v>
      </c>
      <c r="I8" s="51">
        <f>LOOKUP(F8,{0,40,45,50,55,60,65,70,75,80,100},{0,2,2.25,2.5,2.75,3,3.25,3.5,3.75,4,"Invalid Entry"})</f>
        <v>4</v>
      </c>
      <c r="J8" s="42"/>
      <c r="K8" s="51">
        <v>18</v>
      </c>
      <c r="L8" s="51">
        <v>50</v>
      </c>
      <c r="M8" s="51">
        <v>21</v>
      </c>
      <c r="N8" s="51">
        <f t="shared" si="1"/>
        <v>75</v>
      </c>
      <c r="O8" s="51">
        <v>2</v>
      </c>
      <c r="P8" s="51" t="str">
        <f>LOOKUP(N8,{0,40,45,50,55,60,65,70,75,80,100},{"F","C-","C","C+","B-","B","B+","A-","A","A+","Invalid Entry"})</f>
        <v>A</v>
      </c>
      <c r="Q8" s="51">
        <f>LOOKUP(N8,{0,40,45,50,55,60,65,70,75,80,100},{0,2,2.25,2.5,2.75,3,3.25,3.5,3.75,4,"Invalid Entry"})</f>
        <v>3.75</v>
      </c>
      <c r="R8" s="42"/>
      <c r="S8" s="51">
        <v>13</v>
      </c>
      <c r="T8" s="51">
        <v>62</v>
      </c>
      <c r="U8" s="51">
        <v>21</v>
      </c>
      <c r="V8" s="51">
        <f t="shared" si="2"/>
        <v>82</v>
      </c>
      <c r="W8" s="51">
        <v>2</v>
      </c>
      <c r="X8" s="51" t="str">
        <f>LOOKUP(V8,{0,40,45,50,55,60,65,70,75,80,100},{"F","C-","C","C+","B-","B","B+","A-","A","A+","Invalid Entry"})</f>
        <v>A+</v>
      </c>
      <c r="Y8" s="51">
        <f>LOOKUP(V8,{0,40,45,50,55,60,65,70,75,80,100},{0,2,2.25,2.5,2.75,3,3.25,3.5,3.75,4,"Invalid Entry"})</f>
        <v>4</v>
      </c>
      <c r="Z8" s="42"/>
      <c r="AA8" s="51">
        <v>14</v>
      </c>
      <c r="AB8" s="51">
        <v>64</v>
      </c>
      <c r="AC8" s="51">
        <v>21</v>
      </c>
      <c r="AD8" s="51">
        <f t="shared" si="3"/>
        <v>85</v>
      </c>
      <c r="AE8" s="51">
        <v>4</v>
      </c>
      <c r="AF8" s="51" t="str">
        <f>LOOKUP(AD8,{0,40,45,50,55,60,65,70,75,80,100},{"F","C-","C","C+","B-","B","B+","A-","A","A+","Invalid Entry"})</f>
        <v>A+</v>
      </c>
      <c r="AG8" s="51">
        <f>LOOKUP(AD8,{0,40,45,50,55,60,65,70,75,80,100},{0,2,2.25,2.5,2.75,3,3.25,3.5,3.75,4,"Invalid Entry"})</f>
        <v>4</v>
      </c>
      <c r="AH8" s="42"/>
      <c r="AI8" s="51">
        <f t="shared" si="5"/>
        <v>11</v>
      </c>
      <c r="AJ8" s="51">
        <f t="shared" si="4"/>
        <v>3.95</v>
      </c>
      <c r="AK8" s="51" t="str">
        <f>LOOKUP(AJ8,{0,2,2.25,2.5,2.75,3,3.25,3.5,3.75,4},{"F","C-","C","C+","B-","B","B+","A-","A","A+"})</f>
        <v>A</v>
      </c>
    </row>
    <row r="9" spans="1:37">
      <c r="A9" s="51">
        <v>7</v>
      </c>
      <c r="B9" s="51">
        <v>2011236007</v>
      </c>
      <c r="C9" s="51">
        <v>10</v>
      </c>
      <c r="D9" s="51">
        <v>67</v>
      </c>
      <c r="E9" s="51">
        <v>31</v>
      </c>
      <c r="F9" s="51">
        <f t="shared" si="0"/>
        <v>87</v>
      </c>
      <c r="G9" s="51">
        <v>3</v>
      </c>
      <c r="H9" s="51" t="str">
        <f>LOOKUP(F9,{0,40,45,50,55,60,65,70,75,80,100},{"F","C-","C","C+","B-","B","B+","A-","A","A+","Invalid Entry"})</f>
        <v>A+</v>
      </c>
      <c r="I9" s="51">
        <f>LOOKUP(F9,{0,40,45,50,55,60,65,70,75,80,100},{0,2,2.25,2.5,2.75,3,3.25,3.5,3.75,4,"Invalid Entry"})</f>
        <v>4</v>
      </c>
      <c r="J9" s="42"/>
      <c r="K9" s="51">
        <v>18</v>
      </c>
      <c r="L9" s="51">
        <v>43</v>
      </c>
      <c r="M9" s="51">
        <v>31</v>
      </c>
      <c r="N9" s="51">
        <f t="shared" si="1"/>
        <v>71</v>
      </c>
      <c r="O9" s="51">
        <v>2</v>
      </c>
      <c r="P9" s="51" t="str">
        <f>LOOKUP(N9,{0,40,45,50,55,60,65,70,75,80,100},{"F","C-","C","C+","B-","B","B+","A-","A","A+","Invalid Entry"})</f>
        <v>A-</v>
      </c>
      <c r="Q9" s="51">
        <f>LOOKUP(N9,{0,40,45,50,55,60,65,70,75,80,100},{0,2,2.25,2.5,2.75,3,3.25,3.5,3.75,4,"Invalid Entry"})</f>
        <v>3.5</v>
      </c>
      <c r="R9" s="42"/>
      <c r="S9" s="51">
        <v>20</v>
      </c>
      <c r="T9" s="51">
        <v>40</v>
      </c>
      <c r="U9" s="51">
        <v>31</v>
      </c>
      <c r="V9" s="51">
        <f t="shared" si="2"/>
        <v>70</v>
      </c>
      <c r="W9" s="51">
        <v>2</v>
      </c>
      <c r="X9" s="51" t="str">
        <f>LOOKUP(V9,{0,40,45,50,55,60,65,70,75,80,100},{"F","C-","C","C+","B-","B","B+","A-","A","A+","Invalid Entry"})</f>
        <v>A-</v>
      </c>
      <c r="Y9" s="51">
        <f>LOOKUP(V9,{0,40,45,50,55,60,65,70,75,80,100},{0,2,2.25,2.5,2.75,3,3.25,3.5,3.75,4,"Invalid Entry"})</f>
        <v>3.5</v>
      </c>
      <c r="Z9" s="42"/>
      <c r="AA9" s="51">
        <v>5</v>
      </c>
      <c r="AB9" s="51">
        <v>45</v>
      </c>
      <c r="AC9" s="51">
        <v>31</v>
      </c>
      <c r="AD9" s="51">
        <f t="shared" si="3"/>
        <v>60</v>
      </c>
      <c r="AE9" s="51">
        <v>4</v>
      </c>
      <c r="AF9" s="51" t="str">
        <f>LOOKUP(AD9,{0,40,45,50,55,60,65,70,75,80,100},{"F","C-","C","C+","B-","B","B+","A-","A","A+","Invalid Entry"})</f>
        <v>B</v>
      </c>
      <c r="AG9" s="51">
        <f>LOOKUP(AD9,{0,40,45,50,55,60,65,70,75,80,100},{0,2,2.25,2.5,2.75,3,3.25,3.5,3.75,4,"Invalid Entry"})</f>
        <v>3</v>
      </c>
      <c r="AH9" s="42"/>
      <c r="AI9" s="51">
        <f t="shared" si="5"/>
        <v>11</v>
      </c>
      <c r="AJ9" s="51">
        <f t="shared" si="4"/>
        <v>3.45</v>
      </c>
      <c r="AK9" s="51" t="str">
        <f>LOOKUP(AJ9,{0,2,2.25,2.5,2.75,3,3.25,3.5,3.75,4},{"F","C-","C","C+","B-","B","B+","A-","A","A+"})</f>
        <v>B+</v>
      </c>
    </row>
    <row r="10" spans="1:37">
      <c r="A10" s="51">
        <v>8</v>
      </c>
      <c r="B10" s="51">
        <v>2011236008</v>
      </c>
      <c r="C10" s="51">
        <v>18</v>
      </c>
      <c r="D10" s="51">
        <v>68</v>
      </c>
      <c r="E10" s="51">
        <v>30</v>
      </c>
      <c r="F10" s="51">
        <f t="shared" si="0"/>
        <v>96</v>
      </c>
      <c r="G10" s="51">
        <v>3</v>
      </c>
      <c r="H10" s="51" t="str">
        <f>LOOKUP(F10,{0,40,45,50,55,60,65,70,75,80,100},{"F","C-","C","C+","B-","B","B+","A-","A","A+","Invalid Entry"})</f>
        <v>A+</v>
      </c>
      <c r="I10" s="51">
        <f>LOOKUP(F10,{0,40,45,50,55,60,65,70,75,80,100},{0,2,2.25,2.5,2.75,3,3.25,3.5,3.75,4,"Invalid Entry"})</f>
        <v>4</v>
      </c>
      <c r="J10" s="42"/>
      <c r="K10" s="51">
        <v>15</v>
      </c>
      <c r="L10" s="51">
        <v>40</v>
      </c>
      <c r="M10" s="51">
        <v>30</v>
      </c>
      <c r="N10" s="51">
        <f t="shared" si="1"/>
        <v>65</v>
      </c>
      <c r="O10" s="51">
        <v>2</v>
      </c>
      <c r="P10" s="51" t="str">
        <f>LOOKUP(N10,{0,40,45,50,55,60,65,70,75,80,100},{"F","C-","C","C+","B-","B","B+","A-","A","A+","Invalid Entry"})</f>
        <v>B+</v>
      </c>
      <c r="Q10" s="51">
        <f>LOOKUP(N10,{0,40,45,50,55,60,65,70,75,80,100},{0,2,2.25,2.5,2.75,3,3.25,3.5,3.75,4,"Invalid Entry"})</f>
        <v>3.25</v>
      </c>
      <c r="R10" s="42"/>
      <c r="S10" s="51">
        <v>17</v>
      </c>
      <c r="T10" s="51">
        <v>63</v>
      </c>
      <c r="U10" s="51">
        <v>30</v>
      </c>
      <c r="V10" s="51">
        <f t="shared" si="2"/>
        <v>90</v>
      </c>
      <c r="W10" s="51">
        <v>2</v>
      </c>
      <c r="X10" s="51" t="str">
        <f>LOOKUP(V10,{0,40,45,50,55,60,65,70,75,80,100},{"F","C-","C","C+","B-","B","B+","A-","A","A+","Invalid Entry"})</f>
        <v>A+</v>
      </c>
      <c r="Y10" s="51">
        <f>LOOKUP(V10,{0,40,45,50,55,60,65,70,75,80,100},{0,2,2.25,2.5,2.75,3,3.25,3.5,3.75,4,"Invalid Entry"})</f>
        <v>4</v>
      </c>
      <c r="Z10" s="42"/>
      <c r="AA10" s="51">
        <v>7</v>
      </c>
      <c r="AB10" s="51">
        <v>68</v>
      </c>
      <c r="AC10" s="51">
        <v>30</v>
      </c>
      <c r="AD10" s="51">
        <f t="shared" si="3"/>
        <v>85</v>
      </c>
      <c r="AE10" s="51">
        <v>4</v>
      </c>
      <c r="AF10" s="51" t="str">
        <f>LOOKUP(AD10,{0,40,45,50,55,60,65,70,75,80,100},{"F","C-","C","C+","B-","B","B+","A-","A","A+","Invalid Entry"})</f>
        <v>A+</v>
      </c>
      <c r="AG10" s="51">
        <f>LOOKUP(AD10,{0,40,45,50,55,60,65,70,75,80,100},{0,2,2.25,2.5,2.75,3,3.25,3.5,3.75,4,"Invalid Entry"})</f>
        <v>4</v>
      </c>
      <c r="AH10" s="42"/>
      <c r="AI10" s="51">
        <f t="shared" si="5"/>
        <v>11</v>
      </c>
      <c r="AJ10" s="51">
        <f t="shared" si="4"/>
        <v>3.86</v>
      </c>
      <c r="AK10" s="51" t="str">
        <f>LOOKUP(AJ10,{0,2,2.25,2.5,2.75,3,3.25,3.5,3.75,4},{"F","C-","C","C+","B-","B","B+","A-","A","A+"})</f>
        <v>A</v>
      </c>
    </row>
    <row r="11" spans="1:37">
      <c r="A11" s="51">
        <v>9</v>
      </c>
      <c r="B11" s="51">
        <v>2011236009</v>
      </c>
      <c r="C11" s="51">
        <v>9</v>
      </c>
      <c r="D11" s="51">
        <v>52</v>
      </c>
      <c r="E11" s="51">
        <v>33</v>
      </c>
      <c r="F11" s="51">
        <f t="shared" si="0"/>
        <v>71</v>
      </c>
      <c r="G11" s="51">
        <v>3</v>
      </c>
      <c r="H11" s="51" t="str">
        <f>LOOKUP(F11,{0,40,45,50,55,60,65,70,75,80,100},{"F","C-","C","C+","B-","B","B+","A-","A","A+","Invalid Entry"})</f>
        <v>A-</v>
      </c>
      <c r="I11" s="51">
        <f>LOOKUP(F11,{0,40,45,50,55,60,65,70,75,80,100},{0,2,2.25,2.5,2.75,3,3.25,3.5,3.75,4,"Invalid Entry"})</f>
        <v>3.5</v>
      </c>
      <c r="J11" s="42"/>
      <c r="K11" s="51">
        <v>12</v>
      </c>
      <c r="L11" s="51">
        <v>45</v>
      </c>
      <c r="M11" s="51">
        <v>33</v>
      </c>
      <c r="N11" s="51">
        <f t="shared" si="1"/>
        <v>67</v>
      </c>
      <c r="O11" s="51">
        <v>2</v>
      </c>
      <c r="P11" s="51" t="str">
        <f>LOOKUP(N11,{0,40,45,50,55,60,65,70,75,80,100},{"F","C-","C","C+","B-","B","B+","A-","A","A+","Invalid Entry"})</f>
        <v>B+</v>
      </c>
      <c r="Q11" s="51">
        <f>LOOKUP(N11,{0,40,45,50,55,60,65,70,75,80,100},{0,2,2.25,2.5,2.75,3,3.25,3.5,3.75,4,"Invalid Entry"})</f>
        <v>3.25</v>
      </c>
      <c r="R11" s="42"/>
      <c r="S11" s="51">
        <v>13</v>
      </c>
      <c r="T11" s="51">
        <v>53</v>
      </c>
      <c r="U11" s="51">
        <v>33</v>
      </c>
      <c r="V11" s="51">
        <f t="shared" si="2"/>
        <v>76</v>
      </c>
      <c r="W11" s="51">
        <v>2</v>
      </c>
      <c r="X11" s="51" t="str">
        <f>LOOKUP(V11,{0,40,45,50,55,60,65,70,75,80,100},{"F","C-","C","C+","B-","B","B+","A-","A","A+","Invalid Entry"})</f>
        <v>A</v>
      </c>
      <c r="Y11" s="51">
        <f>LOOKUP(V11,{0,40,45,50,55,60,65,70,75,80,100},{0,2,2.25,2.5,2.75,3,3.25,3.5,3.75,4,"Invalid Entry"})</f>
        <v>3.75</v>
      </c>
      <c r="Z11" s="42"/>
      <c r="AA11" s="51">
        <v>14</v>
      </c>
      <c r="AB11" s="51">
        <v>66</v>
      </c>
      <c r="AC11" s="51">
        <v>33</v>
      </c>
      <c r="AD11" s="51">
        <f t="shared" si="3"/>
        <v>90</v>
      </c>
      <c r="AE11" s="51">
        <v>4</v>
      </c>
      <c r="AF11" s="51" t="str">
        <f>LOOKUP(AD11,{0,40,45,50,55,60,65,70,75,80,100},{"F","C-","C","C+","B-","B","B+","A-","A","A+","Invalid Entry"})</f>
        <v>A+</v>
      </c>
      <c r="AG11" s="51">
        <f>LOOKUP(AD11,{0,40,45,50,55,60,65,70,75,80,100},{0,2,2.25,2.5,2.75,3,3.25,3.5,3.75,4,"Invalid Entry"})</f>
        <v>4</v>
      </c>
      <c r="AH11" s="42"/>
      <c r="AI11" s="51">
        <f t="shared" si="5"/>
        <v>11</v>
      </c>
      <c r="AJ11" s="51">
        <f t="shared" si="4"/>
        <v>3.68</v>
      </c>
      <c r="AK11" s="51" t="str">
        <f>LOOKUP(AJ11,{0,2,2.25,2.5,2.75,3,3.25,3.5,3.75,4},{"F","C-","C","C+","B-","B","B+","A-","A","A+"})</f>
        <v>A-</v>
      </c>
    </row>
    <row r="12" spans="1:37">
      <c r="A12" s="51">
        <v>10</v>
      </c>
      <c r="B12" s="51">
        <v>2011236010</v>
      </c>
      <c r="C12" s="51">
        <v>16</v>
      </c>
      <c r="D12" s="51">
        <v>66</v>
      </c>
      <c r="E12" s="51">
        <v>24</v>
      </c>
      <c r="F12" s="51">
        <f t="shared" si="0"/>
        <v>90</v>
      </c>
      <c r="G12" s="51">
        <v>3</v>
      </c>
      <c r="H12" s="51" t="str">
        <f>LOOKUP(F12,{0,40,45,50,55,60,65,70,75,80,100},{"F","C-","C","C+","B-","B","B+","A-","A","A+","Invalid Entry"})</f>
        <v>A+</v>
      </c>
      <c r="I12" s="51">
        <f>LOOKUP(F12,{0,40,45,50,55,60,65,70,75,80,100},{0,2,2.25,2.5,2.75,3,3.25,3.5,3.75,4,"Invalid Entry"})</f>
        <v>4</v>
      </c>
      <c r="J12" s="42"/>
      <c r="K12" s="51">
        <v>10</v>
      </c>
      <c r="L12" s="51">
        <v>40</v>
      </c>
      <c r="M12" s="51">
        <v>24</v>
      </c>
      <c r="N12" s="51">
        <f t="shared" si="1"/>
        <v>58</v>
      </c>
      <c r="O12" s="51">
        <v>2</v>
      </c>
      <c r="P12" s="51" t="str">
        <f>LOOKUP(N12,{0,40,45,50,55,60,65,70,75,80,100},{"F","C-","C","C+","B-","B","B+","A-","A","A+","Invalid Entry"})</f>
        <v>B-</v>
      </c>
      <c r="Q12" s="51">
        <f>LOOKUP(N12,{0,40,45,50,55,60,65,70,75,80,100},{0,2,2.25,2.5,2.75,3,3.25,3.5,3.75,4,"Invalid Entry"})</f>
        <v>2.75</v>
      </c>
      <c r="R12" s="42"/>
      <c r="S12" s="51">
        <v>15</v>
      </c>
      <c r="T12" s="51">
        <v>46</v>
      </c>
      <c r="U12" s="51">
        <v>24</v>
      </c>
      <c r="V12" s="51">
        <f t="shared" si="2"/>
        <v>69</v>
      </c>
      <c r="W12" s="51">
        <v>2</v>
      </c>
      <c r="X12" s="51" t="str">
        <f>LOOKUP(V12,{0,40,45,50,55,60,65,70,75,80,100},{"F","C-","C","C+","B-","B","B+","A-","A","A+","Invalid Entry"})</f>
        <v>B+</v>
      </c>
      <c r="Y12" s="51">
        <f>LOOKUP(V12,{0,40,45,50,55,60,65,70,75,80,100},{0,2,2.25,2.5,2.75,3,3.25,3.5,3.75,4,"Invalid Entry"})</f>
        <v>3.25</v>
      </c>
      <c r="Z12" s="42"/>
      <c r="AA12" s="51">
        <v>10</v>
      </c>
      <c r="AB12" s="51">
        <v>44</v>
      </c>
      <c r="AC12" s="51">
        <v>24</v>
      </c>
      <c r="AD12" s="51">
        <f t="shared" si="3"/>
        <v>62</v>
      </c>
      <c r="AE12" s="51">
        <v>4</v>
      </c>
      <c r="AF12" s="51" t="str">
        <f>LOOKUP(AD12,{0,40,45,50,55,60,65,70,75,80,100},{"F","C-","C","C+","B-","B","B+","A-","A","A+","Invalid Entry"})</f>
        <v>B</v>
      </c>
      <c r="AG12" s="51">
        <f>LOOKUP(AD12,{0,40,45,50,55,60,65,70,75,80,100},{0,2,2.25,2.5,2.75,3,3.25,3.5,3.75,4,"Invalid Entry"})</f>
        <v>3</v>
      </c>
      <c r="AH12" s="42"/>
      <c r="AI12" s="51">
        <f t="shared" si="5"/>
        <v>11</v>
      </c>
      <c r="AJ12" s="51">
        <f t="shared" si="4"/>
        <v>3.27</v>
      </c>
      <c r="AK12" s="51" t="str">
        <f>LOOKUP(AJ12,{0,2,2.25,2.5,2.75,3,3.25,3.5,3.75,4},{"F","C-","C","C+","B-","B","B+","A-","A","A+"})</f>
        <v>B+</v>
      </c>
    </row>
    <row r="13" spans="1:37">
      <c r="A13" s="51">
        <v>11</v>
      </c>
      <c r="B13" s="51">
        <v>2011236011</v>
      </c>
      <c r="C13" s="51">
        <v>16</v>
      </c>
      <c r="D13" s="51">
        <v>68</v>
      </c>
      <c r="E13" s="51">
        <v>31</v>
      </c>
      <c r="F13" s="51">
        <f t="shared" si="0"/>
        <v>94</v>
      </c>
      <c r="G13" s="51">
        <v>3</v>
      </c>
      <c r="H13" s="51" t="str">
        <f>LOOKUP(F13,{0,40,45,50,55,60,65,70,75,80,100},{"F","C-","C","C+","B-","B","B+","A-","A","A+","Invalid Entry"})</f>
        <v>A+</v>
      </c>
      <c r="I13" s="51">
        <f>LOOKUP(F13,{0,40,45,50,55,60,65,70,75,80,100},{0,2,2.25,2.5,2.75,3,3.25,3.5,3.75,4,"Invalid Entry"})</f>
        <v>4</v>
      </c>
      <c r="J13" s="42"/>
      <c r="K13" s="51">
        <v>15</v>
      </c>
      <c r="L13" s="51">
        <v>53</v>
      </c>
      <c r="M13" s="51">
        <v>31</v>
      </c>
      <c r="N13" s="51">
        <f t="shared" si="1"/>
        <v>78</v>
      </c>
      <c r="O13" s="51">
        <v>2</v>
      </c>
      <c r="P13" s="51" t="str">
        <f>LOOKUP(N13,{0,40,45,50,55,60,65,70,75,80,100},{"F","C-","C","C+","B-","B","B+","A-","A","A+","Invalid Entry"})</f>
        <v>A</v>
      </c>
      <c r="Q13" s="51">
        <f>LOOKUP(N13,{0,40,45,50,55,60,65,70,75,80,100},{0,2,2.25,2.5,2.75,3,3.25,3.5,3.75,4,"Invalid Entry"})</f>
        <v>3.75</v>
      </c>
      <c r="R13" s="42"/>
      <c r="S13" s="51">
        <v>20</v>
      </c>
      <c r="T13" s="51">
        <v>41</v>
      </c>
      <c r="U13" s="51">
        <v>31</v>
      </c>
      <c r="V13" s="51">
        <f t="shared" si="2"/>
        <v>71</v>
      </c>
      <c r="W13" s="51">
        <v>2</v>
      </c>
      <c r="X13" s="51" t="str">
        <f>LOOKUP(V13,{0,40,45,50,55,60,65,70,75,80,100},{"F","C-","C","C+","B-","B","B+","A-","A","A+","Invalid Entry"})</f>
        <v>A-</v>
      </c>
      <c r="Y13" s="51">
        <f>LOOKUP(V13,{0,40,45,50,55,60,65,70,75,80,100},{0,2,2.25,2.5,2.75,3,3.25,3.5,3.75,4,"Invalid Entry"})</f>
        <v>3.5</v>
      </c>
      <c r="Z13" s="42"/>
      <c r="AA13" s="51">
        <v>13</v>
      </c>
      <c r="AB13" s="51">
        <v>53</v>
      </c>
      <c r="AC13" s="51">
        <v>31</v>
      </c>
      <c r="AD13" s="51">
        <f t="shared" si="3"/>
        <v>76</v>
      </c>
      <c r="AE13" s="51">
        <v>4</v>
      </c>
      <c r="AF13" s="51" t="str">
        <f>LOOKUP(AD13,{0,40,45,50,55,60,65,70,75,80,100},{"F","C-","C","C+","B-","B","B+","A-","A","A+","Invalid Entry"})</f>
        <v>A</v>
      </c>
      <c r="AG13" s="51">
        <f>LOOKUP(AD13,{0,40,45,50,55,60,65,70,75,80,100},{0,2,2.25,2.5,2.75,3,3.25,3.5,3.75,4,"Invalid Entry"})</f>
        <v>3.75</v>
      </c>
      <c r="AH13" s="42"/>
      <c r="AI13" s="51">
        <f t="shared" si="5"/>
        <v>11</v>
      </c>
      <c r="AJ13" s="51">
        <f t="shared" si="4"/>
        <v>3.77</v>
      </c>
      <c r="AK13" s="51" t="str">
        <f>LOOKUP(AJ13,{0,2,2.25,2.5,2.75,3,3.25,3.5,3.75,4},{"F","C-","C","C+","B-","B","B+","A-","A","A+"})</f>
        <v>A</v>
      </c>
    </row>
    <row r="14" spans="1:37">
      <c r="A14" s="51">
        <v>12</v>
      </c>
      <c r="B14" s="51">
        <v>2011236012</v>
      </c>
      <c r="C14" s="51">
        <v>19</v>
      </c>
      <c r="D14" s="51">
        <v>57</v>
      </c>
      <c r="E14" s="51">
        <v>29</v>
      </c>
      <c r="F14" s="51">
        <f t="shared" si="0"/>
        <v>85</v>
      </c>
      <c r="G14" s="51">
        <v>3</v>
      </c>
      <c r="H14" s="51" t="str">
        <f>LOOKUP(F14,{0,40,45,50,55,60,65,70,75,80,100},{"F","C-","C","C+","B-","B","B+","A-","A","A+","Invalid Entry"})</f>
        <v>A+</v>
      </c>
      <c r="I14" s="51">
        <f>LOOKUP(F14,{0,40,45,50,55,60,65,70,75,80,100},{0,2,2.25,2.5,2.75,3,3.25,3.5,3.75,4,"Invalid Entry"})</f>
        <v>4</v>
      </c>
      <c r="J14" s="42"/>
      <c r="K14" s="51">
        <v>12</v>
      </c>
      <c r="L14" s="51">
        <v>62</v>
      </c>
      <c r="M14" s="51">
        <v>29</v>
      </c>
      <c r="N14" s="51">
        <f t="shared" si="1"/>
        <v>83</v>
      </c>
      <c r="O14" s="51">
        <v>2</v>
      </c>
      <c r="P14" s="51" t="str">
        <f>LOOKUP(N14,{0,40,45,50,55,60,65,70,75,80,100},{"F","C-","C","C+","B-","B","B+","A-","A","A+","Invalid Entry"})</f>
        <v>A+</v>
      </c>
      <c r="Q14" s="51">
        <f>LOOKUP(N14,{0,40,45,50,55,60,65,70,75,80,100},{0,2,2.25,2.5,2.75,3,3.25,3.5,3.75,4,"Invalid Entry"})</f>
        <v>4</v>
      </c>
      <c r="R14" s="42"/>
      <c r="S14" s="51">
        <v>12</v>
      </c>
      <c r="T14" s="51">
        <v>66</v>
      </c>
      <c r="U14" s="51">
        <v>29</v>
      </c>
      <c r="V14" s="51">
        <f t="shared" si="2"/>
        <v>87</v>
      </c>
      <c r="W14" s="51">
        <v>2</v>
      </c>
      <c r="X14" s="51" t="str">
        <f>LOOKUP(V14,{0,40,45,50,55,60,65,70,75,80,100},{"F","C-","C","C+","B-","B","B+","A-","A","A+","Invalid Entry"})</f>
        <v>A+</v>
      </c>
      <c r="Y14" s="51">
        <f>LOOKUP(V14,{0,40,45,50,55,60,65,70,75,80,100},{0,2,2.25,2.5,2.75,3,3.25,3.5,3.75,4,"Invalid Entry"})</f>
        <v>4</v>
      </c>
      <c r="Z14" s="42"/>
      <c r="AA14" s="51">
        <v>12</v>
      </c>
      <c r="AB14" s="51">
        <v>69</v>
      </c>
      <c r="AC14" s="51">
        <v>29</v>
      </c>
      <c r="AD14" s="51">
        <f t="shared" si="3"/>
        <v>90</v>
      </c>
      <c r="AE14" s="51">
        <v>4</v>
      </c>
      <c r="AF14" s="51" t="str">
        <f>LOOKUP(AD14,{0,40,45,50,55,60,65,70,75,80,100},{"F","C-","C","C+","B-","B","B+","A-","A","A+","Invalid Entry"})</f>
        <v>A+</v>
      </c>
      <c r="AG14" s="51">
        <f>LOOKUP(AD14,{0,40,45,50,55,60,65,70,75,80,100},{0,2,2.25,2.5,2.75,3,3.25,3.5,3.75,4,"Invalid Entry"})</f>
        <v>4</v>
      </c>
      <c r="AH14" s="42"/>
      <c r="AI14" s="51">
        <f t="shared" si="5"/>
        <v>11</v>
      </c>
      <c r="AJ14" s="51">
        <f t="shared" si="4"/>
        <v>4</v>
      </c>
      <c r="AK14" s="51" t="str">
        <f>LOOKUP(AJ14,{0,2,2.25,2.5,2.75,3,3.25,3.5,3.75,4},{"F","C-","C","C+","B-","B","B+","A-","A","A+"})</f>
        <v>A+</v>
      </c>
    </row>
    <row r="15" spans="1:37">
      <c r="A15" s="51">
        <v>13</v>
      </c>
      <c r="B15" s="51">
        <v>2011236013</v>
      </c>
      <c r="C15" s="51">
        <v>11</v>
      </c>
      <c r="D15" s="51">
        <v>67</v>
      </c>
      <c r="E15" s="51">
        <v>23</v>
      </c>
      <c r="F15" s="51">
        <f t="shared" si="0"/>
        <v>85</v>
      </c>
      <c r="G15" s="51">
        <v>3</v>
      </c>
      <c r="H15" s="51" t="str">
        <f>LOOKUP(F15,{0,40,45,50,55,60,65,70,75,80,100},{"F","C-","C","C+","B-","B","B+","A-","A","A+","Invalid Entry"})</f>
        <v>A+</v>
      </c>
      <c r="I15" s="51">
        <f>LOOKUP(F15,{0,40,45,50,55,60,65,70,75,80,100},{0,2,2.25,2.5,2.75,3,3.25,3.5,3.75,4,"Invalid Entry"})</f>
        <v>4</v>
      </c>
      <c r="J15" s="42"/>
      <c r="K15" s="51">
        <v>14</v>
      </c>
      <c r="L15" s="51">
        <v>68</v>
      </c>
      <c r="M15" s="51">
        <v>23</v>
      </c>
      <c r="N15" s="51">
        <f t="shared" si="1"/>
        <v>89</v>
      </c>
      <c r="O15" s="51">
        <v>2</v>
      </c>
      <c r="P15" s="51" t="str">
        <f>LOOKUP(N15,{0,40,45,50,55,60,65,70,75,80,100},{"F","C-","C","C+","B-","B","B+","A-","A","A+","Invalid Entry"})</f>
        <v>A+</v>
      </c>
      <c r="Q15" s="51">
        <f>LOOKUP(N15,{0,40,45,50,55,60,65,70,75,80,100},{0,2,2.25,2.5,2.75,3,3.25,3.5,3.75,4,"Invalid Entry"})</f>
        <v>4</v>
      </c>
      <c r="R15" s="42"/>
      <c r="S15" s="51">
        <v>19</v>
      </c>
      <c r="T15" s="51">
        <v>43</v>
      </c>
      <c r="U15" s="51">
        <v>23</v>
      </c>
      <c r="V15" s="51">
        <f t="shared" si="2"/>
        <v>69</v>
      </c>
      <c r="W15" s="51">
        <v>2</v>
      </c>
      <c r="X15" s="51" t="str">
        <f>LOOKUP(V15,{0,40,45,50,55,60,65,70,75,80,100},{"F","C-","C","C+","B-","B","B+","A-","A","A+","Invalid Entry"})</f>
        <v>B+</v>
      </c>
      <c r="Y15" s="51">
        <f>LOOKUP(V15,{0,40,45,50,55,60,65,70,75,80,100},{0,2,2.25,2.5,2.75,3,3.25,3.5,3.75,4,"Invalid Entry"})</f>
        <v>3.25</v>
      </c>
      <c r="Z15" s="42"/>
      <c r="AA15" s="51">
        <v>11</v>
      </c>
      <c r="AB15" s="51">
        <v>59</v>
      </c>
      <c r="AC15" s="51">
        <v>23</v>
      </c>
      <c r="AD15" s="51">
        <f t="shared" si="3"/>
        <v>77</v>
      </c>
      <c r="AE15" s="51">
        <v>4</v>
      </c>
      <c r="AF15" s="51" t="str">
        <f>LOOKUP(AD15,{0,40,45,50,55,60,65,70,75,80,100},{"F","C-","C","C+","B-","B","B+","A-","A","A+","Invalid Entry"})</f>
        <v>A</v>
      </c>
      <c r="AG15" s="51">
        <f>LOOKUP(AD15,{0,40,45,50,55,60,65,70,75,80,100},{0,2,2.25,2.5,2.75,3,3.25,3.5,3.75,4,"Invalid Entry"})</f>
        <v>3.75</v>
      </c>
      <c r="AH15" s="42"/>
      <c r="AI15" s="51">
        <f t="shared" si="5"/>
        <v>11</v>
      </c>
      <c r="AJ15" s="51">
        <f t="shared" si="4"/>
        <v>3.77</v>
      </c>
      <c r="AK15" s="51" t="str">
        <f>LOOKUP(AJ15,{0,2,2.25,2.5,2.75,3,3.25,3.5,3.75,4},{"F","C-","C","C+","B-","B","B+","A-","A","A+"})</f>
        <v>A</v>
      </c>
    </row>
    <row r="16" spans="1:37">
      <c r="A16" s="51">
        <v>14</v>
      </c>
      <c r="B16" s="51">
        <v>2011236014</v>
      </c>
      <c r="C16" s="51">
        <v>7</v>
      </c>
      <c r="D16" s="51">
        <v>56</v>
      </c>
      <c r="E16" s="51">
        <v>31</v>
      </c>
      <c r="F16" s="51">
        <f t="shared" si="0"/>
        <v>73</v>
      </c>
      <c r="G16" s="51">
        <v>3</v>
      </c>
      <c r="H16" s="51" t="str">
        <f>LOOKUP(F16,{0,40,45,50,55,60,65,70,75,80,100},{"F","C-","C","C+","B-","B","B+","A-","A","A+","Invalid Entry"})</f>
        <v>A-</v>
      </c>
      <c r="I16" s="51">
        <f>LOOKUP(F16,{0,40,45,50,55,60,65,70,75,80,100},{0,2,2.25,2.5,2.75,3,3.25,3.5,3.75,4,"Invalid Entry"})</f>
        <v>3.5</v>
      </c>
      <c r="J16" s="42"/>
      <c r="K16" s="51">
        <v>17</v>
      </c>
      <c r="L16" s="51">
        <v>67</v>
      </c>
      <c r="M16" s="51">
        <v>31</v>
      </c>
      <c r="N16" s="51">
        <f t="shared" si="1"/>
        <v>94</v>
      </c>
      <c r="O16" s="51">
        <v>2</v>
      </c>
      <c r="P16" s="51" t="str">
        <f>LOOKUP(N16,{0,40,45,50,55,60,65,70,75,80,100},{"F","C-","C","C+","B-","B","B+","A-","A","A+","Invalid Entry"})</f>
        <v>A+</v>
      </c>
      <c r="Q16" s="51">
        <f>LOOKUP(N16,{0,40,45,50,55,60,65,70,75,80,100},{0,2,2.25,2.5,2.75,3,3.25,3.5,3.75,4,"Invalid Entry"})</f>
        <v>4</v>
      </c>
      <c r="R16" s="42"/>
      <c r="S16" s="51">
        <v>11</v>
      </c>
      <c r="T16" s="51">
        <v>48</v>
      </c>
      <c r="U16" s="51">
        <v>31</v>
      </c>
      <c r="V16" s="51">
        <f t="shared" si="2"/>
        <v>69</v>
      </c>
      <c r="W16" s="51">
        <v>2</v>
      </c>
      <c r="X16" s="51" t="str">
        <f>LOOKUP(V16,{0,40,45,50,55,60,65,70,75,80,100},{"F","C-","C","C+","B-","B","B+","A-","A","A+","Invalid Entry"})</f>
        <v>B+</v>
      </c>
      <c r="Y16" s="51">
        <f>LOOKUP(V16,{0,40,45,50,55,60,65,70,75,80,100},{0,2,2.25,2.5,2.75,3,3.25,3.5,3.75,4,"Invalid Entry"})</f>
        <v>3.25</v>
      </c>
      <c r="Z16" s="42"/>
      <c r="AA16" s="51">
        <v>12</v>
      </c>
      <c r="AB16" s="51">
        <v>44</v>
      </c>
      <c r="AC16" s="51">
        <v>31</v>
      </c>
      <c r="AD16" s="51">
        <f t="shared" si="3"/>
        <v>66</v>
      </c>
      <c r="AE16" s="51">
        <v>4</v>
      </c>
      <c r="AF16" s="51" t="str">
        <f>LOOKUP(AD16,{0,40,45,50,55,60,65,70,75,80,100},{"F","C-","C","C+","B-","B","B+","A-","A","A+","Invalid Entry"})</f>
        <v>B+</v>
      </c>
      <c r="AG16" s="51">
        <f>LOOKUP(AD16,{0,40,45,50,55,60,65,70,75,80,100},{0,2,2.25,2.5,2.75,3,3.25,3.5,3.75,4,"Invalid Entry"})</f>
        <v>3.25</v>
      </c>
      <c r="AH16" s="42"/>
      <c r="AI16" s="51">
        <f t="shared" si="5"/>
        <v>11</v>
      </c>
      <c r="AJ16" s="51">
        <f t="shared" si="4"/>
        <v>3.45</v>
      </c>
      <c r="AK16" s="51" t="str">
        <f>LOOKUP(AJ16,{0,2,2.25,2.5,2.75,3,3.25,3.5,3.75,4},{"F","C-","C","C+","B-","B","B+","A-","A","A+"})</f>
        <v>B+</v>
      </c>
    </row>
    <row r="17" spans="1:37">
      <c r="A17" s="51">
        <v>15</v>
      </c>
      <c r="B17" s="51">
        <v>2011236015</v>
      </c>
      <c r="C17" s="51">
        <v>16</v>
      </c>
      <c r="D17" s="51">
        <v>48</v>
      </c>
      <c r="E17" s="51">
        <v>29</v>
      </c>
      <c r="F17" s="51">
        <f t="shared" si="0"/>
        <v>73</v>
      </c>
      <c r="G17" s="51">
        <v>3</v>
      </c>
      <c r="H17" s="51" t="str">
        <f>LOOKUP(F17,{0,40,45,50,55,60,65,70,75,80,100},{"F","C-","C","C+","B-","B","B+","A-","A","A+","Invalid Entry"})</f>
        <v>A-</v>
      </c>
      <c r="I17" s="51">
        <f>LOOKUP(F17,{0,40,45,50,55,60,65,70,75,80,100},{0,2,2.25,2.5,2.75,3,3.25,3.5,3.75,4,"Invalid Entry"})</f>
        <v>3.5</v>
      </c>
      <c r="J17" s="42"/>
      <c r="K17" s="51">
        <v>17</v>
      </c>
      <c r="L17" s="51">
        <v>54</v>
      </c>
      <c r="M17" s="51">
        <v>29</v>
      </c>
      <c r="N17" s="51">
        <f t="shared" si="1"/>
        <v>80</v>
      </c>
      <c r="O17" s="51">
        <v>2</v>
      </c>
      <c r="P17" s="51" t="str">
        <f>LOOKUP(N17,{0,40,45,50,55,60,65,70,75,80,100},{"F","C-","C","C+","B-","B","B+","A-","A","A+","Invalid Entry"})</f>
        <v>A+</v>
      </c>
      <c r="Q17" s="51">
        <f>LOOKUP(N17,{0,40,45,50,55,60,65,70,75,80,100},{0,2,2.25,2.5,2.75,3,3.25,3.5,3.75,4,"Invalid Entry"})</f>
        <v>4</v>
      </c>
      <c r="R17" s="42"/>
      <c r="S17" s="51">
        <v>20</v>
      </c>
      <c r="T17" s="51">
        <v>61</v>
      </c>
      <c r="U17" s="51">
        <v>29</v>
      </c>
      <c r="V17" s="51">
        <f t="shared" si="2"/>
        <v>90</v>
      </c>
      <c r="W17" s="51">
        <v>2</v>
      </c>
      <c r="X17" s="51" t="str">
        <f>LOOKUP(V17,{0,40,45,50,55,60,65,70,75,80,100},{"F","C-","C","C+","B-","B","B+","A-","A","A+","Invalid Entry"})</f>
        <v>A+</v>
      </c>
      <c r="Y17" s="51">
        <f>LOOKUP(V17,{0,40,45,50,55,60,65,70,75,80,100},{0,2,2.25,2.5,2.75,3,3.25,3.5,3.75,4,"Invalid Entry"})</f>
        <v>4</v>
      </c>
      <c r="Z17" s="42"/>
      <c r="AA17" s="51">
        <v>13</v>
      </c>
      <c r="AB17" s="51">
        <v>40</v>
      </c>
      <c r="AC17" s="51">
        <v>29</v>
      </c>
      <c r="AD17" s="51">
        <f t="shared" si="3"/>
        <v>62</v>
      </c>
      <c r="AE17" s="51">
        <v>4</v>
      </c>
      <c r="AF17" s="51" t="str">
        <f>LOOKUP(AD17,{0,40,45,50,55,60,65,70,75,80,100},{"F","C-","C","C+","B-","B","B+","A-","A","A+","Invalid Entry"})</f>
        <v>B</v>
      </c>
      <c r="AG17" s="51">
        <f>LOOKUP(AD17,{0,40,45,50,55,60,65,70,75,80,100},{0,2,2.25,2.5,2.75,3,3.25,3.5,3.75,4,"Invalid Entry"})</f>
        <v>3</v>
      </c>
      <c r="AH17" s="42"/>
      <c r="AI17" s="51">
        <f t="shared" si="5"/>
        <v>11</v>
      </c>
      <c r="AJ17" s="51">
        <f t="shared" si="4"/>
        <v>3.5</v>
      </c>
      <c r="AK17" s="51" t="str">
        <f>LOOKUP(AJ17,{0,2,2.25,2.5,2.75,3,3.25,3.5,3.75,4},{"F","C-","C","C+","B-","B","B+","A-","A","A+"})</f>
        <v>A-</v>
      </c>
    </row>
    <row r="18" spans="1:37">
      <c r="A18" s="51">
        <v>16</v>
      </c>
      <c r="B18" s="51">
        <v>2011236016</v>
      </c>
      <c r="C18" s="51">
        <v>14</v>
      </c>
      <c r="D18" s="51">
        <v>55</v>
      </c>
      <c r="E18" s="51">
        <v>33</v>
      </c>
      <c r="F18" s="51">
        <f t="shared" si="0"/>
        <v>79</v>
      </c>
      <c r="G18" s="51">
        <v>3</v>
      </c>
      <c r="H18" s="51" t="str">
        <f>LOOKUP(F18,{0,40,45,50,55,60,65,70,75,80,100},{"F","C-","C","C+","B-","B","B+","A-","A","A+","Invalid Entry"})</f>
        <v>A</v>
      </c>
      <c r="I18" s="51">
        <f>LOOKUP(F18,{0,40,45,50,55,60,65,70,75,80,100},{0,2,2.25,2.5,2.75,3,3.25,3.5,3.75,4,"Invalid Entry"})</f>
        <v>3.75</v>
      </c>
      <c r="J18" s="42"/>
      <c r="K18" s="51">
        <v>16</v>
      </c>
      <c r="L18" s="51">
        <v>44</v>
      </c>
      <c r="M18" s="51">
        <v>33</v>
      </c>
      <c r="N18" s="51">
        <f t="shared" si="1"/>
        <v>70</v>
      </c>
      <c r="O18" s="51">
        <v>2</v>
      </c>
      <c r="P18" s="51" t="str">
        <f>LOOKUP(N18,{0,40,45,50,55,60,65,70,75,80,100},{"F","C-","C","C+","B-","B","B+","A-","A","A+","Invalid Entry"})</f>
        <v>A-</v>
      </c>
      <c r="Q18" s="51">
        <f>LOOKUP(N18,{0,40,45,50,55,60,65,70,75,80,100},{0,2,2.25,2.5,2.75,3,3.25,3.5,3.75,4,"Invalid Entry"})</f>
        <v>3.5</v>
      </c>
      <c r="R18" s="42"/>
      <c r="S18" s="51">
        <v>14</v>
      </c>
      <c r="T18" s="51">
        <v>45</v>
      </c>
      <c r="U18" s="51">
        <v>33</v>
      </c>
      <c r="V18" s="51">
        <f t="shared" si="2"/>
        <v>69</v>
      </c>
      <c r="W18" s="51">
        <v>2</v>
      </c>
      <c r="X18" s="51" t="str">
        <f>LOOKUP(V18,{0,40,45,50,55,60,65,70,75,80,100},{"F","C-","C","C+","B-","B","B+","A-","A","A+","Invalid Entry"})</f>
        <v>B+</v>
      </c>
      <c r="Y18" s="51">
        <f>LOOKUP(V18,{0,40,45,50,55,60,65,70,75,80,100},{0,2,2.25,2.5,2.75,3,3.25,3.5,3.75,4,"Invalid Entry"})</f>
        <v>3.25</v>
      </c>
      <c r="Z18" s="42"/>
      <c r="AA18" s="51">
        <v>16</v>
      </c>
      <c r="AB18" s="51">
        <v>65</v>
      </c>
      <c r="AC18" s="51">
        <v>33</v>
      </c>
      <c r="AD18" s="51">
        <f t="shared" si="3"/>
        <v>91</v>
      </c>
      <c r="AE18" s="51">
        <v>4</v>
      </c>
      <c r="AF18" s="51" t="str">
        <f>LOOKUP(AD18,{0,40,45,50,55,60,65,70,75,80,100},{"F","C-","C","C+","B-","B","B+","A-","A","A+","Invalid Entry"})</f>
        <v>A+</v>
      </c>
      <c r="AG18" s="51">
        <f>LOOKUP(AD18,{0,40,45,50,55,60,65,70,75,80,100},{0,2,2.25,2.5,2.75,3,3.25,3.5,3.75,4,"Invalid Entry"})</f>
        <v>4</v>
      </c>
      <c r="AH18" s="42"/>
      <c r="AI18" s="51">
        <f t="shared" si="5"/>
        <v>11</v>
      </c>
      <c r="AJ18" s="51">
        <f t="shared" si="4"/>
        <v>3.7</v>
      </c>
      <c r="AK18" s="51" t="str">
        <f>LOOKUP(AJ18,{0,2,2.25,2.5,2.75,3,3.25,3.5,3.75,4},{"F","C-","C","C+","B-","B","B+","A-","A","A+"})</f>
        <v>A-</v>
      </c>
    </row>
    <row r="19" spans="1:37">
      <c r="A19" s="51">
        <v>17</v>
      </c>
      <c r="B19" s="51">
        <v>2011236017</v>
      </c>
      <c r="C19" s="51">
        <v>19</v>
      </c>
      <c r="D19" s="51">
        <v>54</v>
      </c>
      <c r="E19" s="51">
        <v>28</v>
      </c>
      <c r="F19" s="51">
        <f t="shared" si="0"/>
        <v>82</v>
      </c>
      <c r="G19" s="51">
        <v>3</v>
      </c>
      <c r="H19" s="51" t="str">
        <f>LOOKUP(F19,{0,40,45,50,55,60,65,70,75,80,100},{"F","C-","C","C+","B-","B","B+","A-","A","A+","Invalid Entry"})</f>
        <v>A+</v>
      </c>
      <c r="I19" s="51">
        <f>LOOKUP(F19,{0,40,45,50,55,60,65,70,75,80,100},{0,2,2.25,2.5,2.75,3,3.25,3.5,3.75,4,"Invalid Entry"})</f>
        <v>4</v>
      </c>
      <c r="J19" s="42"/>
      <c r="K19" s="51">
        <v>12</v>
      </c>
      <c r="L19" s="51">
        <v>63</v>
      </c>
      <c r="M19" s="51">
        <v>28</v>
      </c>
      <c r="N19" s="51">
        <f t="shared" si="1"/>
        <v>84</v>
      </c>
      <c r="O19" s="51">
        <v>2</v>
      </c>
      <c r="P19" s="51" t="str">
        <f>LOOKUP(N19,{0,40,45,50,55,60,65,70,75,80,100},{"F","C-","C","C+","B-","B","B+","A-","A","A+","Invalid Entry"})</f>
        <v>A+</v>
      </c>
      <c r="Q19" s="51">
        <f>LOOKUP(N19,{0,40,45,50,55,60,65,70,75,80,100},{0,2,2.25,2.5,2.75,3,3.25,3.5,3.75,4,"Invalid Entry"})</f>
        <v>4</v>
      </c>
      <c r="R19" s="42"/>
      <c r="S19" s="51">
        <v>12</v>
      </c>
      <c r="T19" s="51">
        <v>67</v>
      </c>
      <c r="U19" s="51">
        <v>28</v>
      </c>
      <c r="V19" s="51">
        <f t="shared" si="2"/>
        <v>88</v>
      </c>
      <c r="W19" s="51">
        <v>2</v>
      </c>
      <c r="X19" s="51" t="str">
        <f>LOOKUP(V19,{0,40,45,50,55,60,65,70,75,80,100},{"F","C-","C","C+","B-","B","B+","A-","A","A+","Invalid Entry"})</f>
        <v>A+</v>
      </c>
      <c r="Y19" s="51">
        <f>LOOKUP(V19,{0,40,45,50,55,60,65,70,75,80,100},{0,2,2.25,2.5,2.75,3,3.25,3.5,3.75,4,"Invalid Entry"})</f>
        <v>4</v>
      </c>
      <c r="Z19" s="42"/>
      <c r="AA19" s="51">
        <v>5</v>
      </c>
      <c r="AB19" s="51">
        <v>63</v>
      </c>
      <c r="AC19" s="51">
        <v>28</v>
      </c>
      <c r="AD19" s="51">
        <f t="shared" si="3"/>
        <v>77</v>
      </c>
      <c r="AE19" s="51">
        <v>4</v>
      </c>
      <c r="AF19" s="51" t="str">
        <f>LOOKUP(AD19,{0,40,45,50,55,60,65,70,75,80,100},{"F","C-","C","C+","B-","B","B+","A-","A","A+","Invalid Entry"})</f>
        <v>A</v>
      </c>
      <c r="AG19" s="51">
        <f>LOOKUP(AD19,{0,40,45,50,55,60,65,70,75,80,100},{0,2,2.25,2.5,2.75,3,3.25,3.5,3.75,4,"Invalid Entry"})</f>
        <v>3.75</v>
      </c>
      <c r="AH19" s="42"/>
      <c r="AI19" s="51">
        <f t="shared" si="5"/>
        <v>11</v>
      </c>
      <c r="AJ19" s="51">
        <f t="shared" si="4"/>
        <v>3.91</v>
      </c>
      <c r="AK19" s="51" t="str">
        <f>LOOKUP(AJ19,{0,2,2.25,2.5,2.75,3,3.25,3.5,3.75,4},{"F","C-","C","C+","B-","B","B+","A-","A","A+"})</f>
        <v>A</v>
      </c>
    </row>
    <row r="20" spans="1:37">
      <c r="A20" s="51">
        <v>18</v>
      </c>
      <c r="B20" s="51">
        <v>2011236018</v>
      </c>
      <c r="C20" s="51">
        <v>10</v>
      </c>
      <c r="D20" s="51">
        <v>56</v>
      </c>
      <c r="E20" s="51">
        <v>29</v>
      </c>
      <c r="F20" s="51">
        <f t="shared" si="0"/>
        <v>75</v>
      </c>
      <c r="G20" s="51">
        <v>3</v>
      </c>
      <c r="H20" s="51" t="str">
        <f>LOOKUP(F20,{0,40,45,50,55,60,65,70,75,80,100},{"F","C-","C","C+","B-","B","B+","A-","A","A+","Invalid Entry"})</f>
        <v>A</v>
      </c>
      <c r="I20" s="51">
        <f>LOOKUP(F20,{0,40,45,50,55,60,65,70,75,80,100},{0,2,2.25,2.5,2.75,3,3.25,3.5,3.75,4,"Invalid Entry"})</f>
        <v>3.75</v>
      </c>
      <c r="J20" s="42"/>
      <c r="K20" s="51">
        <v>12</v>
      </c>
      <c r="L20" s="51">
        <v>45</v>
      </c>
      <c r="M20" s="51">
        <v>29</v>
      </c>
      <c r="N20" s="51">
        <f t="shared" si="1"/>
        <v>66</v>
      </c>
      <c r="O20" s="51">
        <v>2</v>
      </c>
      <c r="P20" s="51" t="str">
        <f>LOOKUP(N20,{0,40,45,50,55,60,65,70,75,80,100},{"F","C-","C","C+","B-","B","B+","A-","A","A+","Invalid Entry"})</f>
        <v>B+</v>
      </c>
      <c r="Q20" s="51">
        <f>LOOKUP(N20,{0,40,45,50,55,60,65,70,75,80,100},{0,2,2.25,2.5,2.75,3,3.25,3.5,3.75,4,"Invalid Entry"})</f>
        <v>3.25</v>
      </c>
      <c r="R20" s="42"/>
      <c r="S20" s="51">
        <v>14</v>
      </c>
      <c r="T20" s="51">
        <v>51</v>
      </c>
      <c r="U20" s="51">
        <v>29</v>
      </c>
      <c r="V20" s="51">
        <f t="shared" si="2"/>
        <v>74</v>
      </c>
      <c r="W20" s="51">
        <v>2</v>
      </c>
      <c r="X20" s="51" t="str">
        <f>LOOKUP(V20,{0,40,45,50,55,60,65,70,75,80,100},{"F","C-","C","C+","B-","B","B+","A-","A","A+","Invalid Entry"})</f>
        <v>A-</v>
      </c>
      <c r="Y20" s="51">
        <f>LOOKUP(V20,{0,40,45,50,55,60,65,70,75,80,100},{0,2,2.25,2.5,2.75,3,3.25,3.5,3.75,4,"Invalid Entry"})</f>
        <v>3.5</v>
      </c>
      <c r="Z20" s="42"/>
      <c r="AA20" s="51">
        <v>11</v>
      </c>
      <c r="AB20" s="51">
        <v>58</v>
      </c>
      <c r="AC20" s="51">
        <v>29</v>
      </c>
      <c r="AD20" s="51">
        <f t="shared" si="3"/>
        <v>78</v>
      </c>
      <c r="AE20" s="51">
        <v>4</v>
      </c>
      <c r="AF20" s="51" t="str">
        <f>LOOKUP(AD20,{0,40,45,50,55,60,65,70,75,80,100},{"F","C-","C","C+","B-","B","B+","A-","A","A+","Invalid Entry"})</f>
        <v>A</v>
      </c>
      <c r="AG20" s="51">
        <f>LOOKUP(AD20,{0,40,45,50,55,60,65,70,75,80,100},{0,2,2.25,2.5,2.75,3,3.25,3.5,3.75,4,"Invalid Entry"})</f>
        <v>3.75</v>
      </c>
      <c r="AH20" s="42"/>
      <c r="AI20" s="51">
        <f t="shared" si="5"/>
        <v>11</v>
      </c>
      <c r="AJ20" s="51">
        <f t="shared" si="4"/>
        <v>3.61</v>
      </c>
      <c r="AK20" s="51" t="str">
        <f>LOOKUP(AJ20,{0,2,2.25,2.5,2.75,3,3.25,3.5,3.75,4},{"F","C-","C","C+","B-","B","B+","A-","A","A+"})</f>
        <v>A-</v>
      </c>
    </row>
    <row r="21" spans="1:37">
      <c r="A21" s="51">
        <v>19</v>
      </c>
      <c r="B21" s="51">
        <v>2011236019</v>
      </c>
      <c r="C21" s="51">
        <v>6</v>
      </c>
      <c r="D21" s="51">
        <v>69</v>
      </c>
      <c r="E21" s="51">
        <v>25</v>
      </c>
      <c r="F21" s="51">
        <f t="shared" si="0"/>
        <v>83</v>
      </c>
      <c r="G21" s="51">
        <v>3</v>
      </c>
      <c r="H21" s="51" t="str">
        <f>LOOKUP(F21,{0,40,45,50,55,60,65,70,75,80,100},{"F","C-","C","C+","B-","B","B+","A-","A","A+","Invalid Entry"})</f>
        <v>A+</v>
      </c>
      <c r="I21" s="51">
        <f>LOOKUP(F21,{0,40,45,50,55,60,65,70,75,80,100},{0,2,2.25,2.5,2.75,3,3.25,3.5,3.75,4,"Invalid Entry"})</f>
        <v>4</v>
      </c>
      <c r="J21" s="42"/>
      <c r="K21" s="51">
        <v>14</v>
      </c>
      <c r="L21" s="51">
        <v>50</v>
      </c>
      <c r="M21" s="51">
        <v>25</v>
      </c>
      <c r="N21" s="51">
        <f t="shared" si="1"/>
        <v>72</v>
      </c>
      <c r="O21" s="51">
        <v>2</v>
      </c>
      <c r="P21" s="51" t="str">
        <f>LOOKUP(N21,{0,40,45,50,55,60,65,70,75,80,100},{"F","C-","C","C+","B-","B","B+","A-","A","A+","Invalid Entry"})</f>
        <v>A-</v>
      </c>
      <c r="Q21" s="51">
        <f>LOOKUP(N21,{0,40,45,50,55,60,65,70,75,80,100},{0,2,2.25,2.5,2.75,3,3.25,3.5,3.75,4,"Invalid Entry"})</f>
        <v>3.5</v>
      </c>
      <c r="R21" s="42"/>
      <c r="S21" s="51">
        <v>19</v>
      </c>
      <c r="T21" s="51">
        <v>66</v>
      </c>
      <c r="U21" s="51">
        <v>25</v>
      </c>
      <c r="V21" s="51">
        <f t="shared" si="2"/>
        <v>93</v>
      </c>
      <c r="W21" s="51">
        <v>2</v>
      </c>
      <c r="X21" s="51" t="str">
        <f>LOOKUP(V21,{0,40,45,50,55,60,65,70,75,80,100},{"F","C-","C","C+","B-","B","B+","A-","A","A+","Invalid Entry"})</f>
        <v>A+</v>
      </c>
      <c r="Y21" s="51">
        <f>LOOKUP(V21,{0,40,45,50,55,60,65,70,75,80,100},{0,2,2.25,2.5,2.75,3,3.25,3.5,3.75,4,"Invalid Entry"})</f>
        <v>4</v>
      </c>
      <c r="Z21" s="42"/>
      <c r="AA21" s="51">
        <v>17</v>
      </c>
      <c r="AB21" s="51">
        <v>54</v>
      </c>
      <c r="AC21" s="51">
        <v>25</v>
      </c>
      <c r="AD21" s="51">
        <f t="shared" si="3"/>
        <v>79</v>
      </c>
      <c r="AE21" s="51">
        <v>4</v>
      </c>
      <c r="AF21" s="51" t="str">
        <f>LOOKUP(AD21,{0,40,45,50,55,60,65,70,75,80,100},{"F","C-","C","C+","B-","B","B+","A-","A","A+","Invalid Entry"})</f>
        <v>A</v>
      </c>
      <c r="AG21" s="51">
        <f>LOOKUP(AD21,{0,40,45,50,55,60,65,70,75,80,100},{0,2,2.25,2.5,2.75,3,3.25,3.5,3.75,4,"Invalid Entry"})</f>
        <v>3.75</v>
      </c>
      <c r="AH21" s="42"/>
      <c r="AI21" s="51">
        <f t="shared" si="5"/>
        <v>11</v>
      </c>
      <c r="AJ21" s="51">
        <f t="shared" si="4"/>
        <v>3.82</v>
      </c>
      <c r="AK21" s="51" t="str">
        <f>LOOKUP(AJ21,{0,2,2.25,2.5,2.75,3,3.25,3.5,3.75,4},{"F","C-","C","C+","B-","B","B+","A-","A","A+"})</f>
        <v>A</v>
      </c>
    </row>
    <row r="22" spans="1:37">
      <c r="A22" s="51">
        <v>20</v>
      </c>
      <c r="B22" s="51">
        <v>2011236020</v>
      </c>
      <c r="C22" s="51">
        <v>17</v>
      </c>
      <c r="D22" s="51">
        <v>63</v>
      </c>
      <c r="E22" s="51">
        <v>27</v>
      </c>
      <c r="F22" s="51">
        <f t="shared" si="0"/>
        <v>89</v>
      </c>
      <c r="G22" s="51">
        <v>3</v>
      </c>
      <c r="H22" s="51" t="str">
        <f>LOOKUP(F22,{0,40,45,50,55,60,65,70,75,80,100},{"F","C-","C","C+","B-","B","B+","A-","A","A+","Invalid Entry"})</f>
        <v>A+</v>
      </c>
      <c r="I22" s="51">
        <f>LOOKUP(F22,{0,40,45,50,55,60,65,70,75,80,100},{0,2,2.25,2.5,2.75,3,3.25,3.5,3.75,4,"Invalid Entry"})</f>
        <v>4</v>
      </c>
      <c r="J22" s="42"/>
      <c r="K22" s="51">
        <v>15</v>
      </c>
      <c r="L22" s="51">
        <v>64</v>
      </c>
      <c r="M22" s="51">
        <v>27</v>
      </c>
      <c r="N22" s="51">
        <f t="shared" si="1"/>
        <v>88</v>
      </c>
      <c r="O22" s="51">
        <v>2</v>
      </c>
      <c r="P22" s="51" t="str">
        <f>LOOKUP(N22,{0,40,45,50,55,60,65,70,75,80,100},{"F","C-","C","C+","B-","B","B+","A-","A","A+","Invalid Entry"})</f>
        <v>A+</v>
      </c>
      <c r="Q22" s="51">
        <f>LOOKUP(N22,{0,40,45,50,55,60,65,70,75,80,100},{0,2,2.25,2.5,2.75,3,3.25,3.5,3.75,4,"Invalid Entry"})</f>
        <v>4</v>
      </c>
      <c r="R22" s="42"/>
      <c r="S22" s="51">
        <v>17</v>
      </c>
      <c r="T22" s="51">
        <v>66</v>
      </c>
      <c r="U22" s="51">
        <v>27</v>
      </c>
      <c r="V22" s="51">
        <f t="shared" si="2"/>
        <v>92</v>
      </c>
      <c r="W22" s="51">
        <v>2</v>
      </c>
      <c r="X22" s="51" t="str">
        <f>LOOKUP(V22,{0,40,45,50,55,60,65,70,75,80,100},{"F","C-","C","C+","B-","B","B+","A-","A","A+","Invalid Entry"})</f>
        <v>A+</v>
      </c>
      <c r="Y22" s="51">
        <f>LOOKUP(V22,{0,40,45,50,55,60,65,70,75,80,100},{0,2,2.25,2.5,2.75,3,3.25,3.5,3.75,4,"Invalid Entry"})</f>
        <v>4</v>
      </c>
      <c r="Z22" s="42"/>
      <c r="AA22" s="51">
        <v>8</v>
      </c>
      <c r="AB22" s="51">
        <v>53</v>
      </c>
      <c r="AC22" s="51">
        <v>27</v>
      </c>
      <c r="AD22" s="51">
        <f t="shared" si="3"/>
        <v>70</v>
      </c>
      <c r="AE22" s="51">
        <v>4</v>
      </c>
      <c r="AF22" s="51" t="str">
        <f>LOOKUP(AD22,{0,40,45,50,55,60,65,70,75,80,100},{"F","C-","C","C+","B-","B","B+","A-","A","A+","Invalid Entry"})</f>
        <v>A-</v>
      </c>
      <c r="AG22" s="51">
        <f>LOOKUP(AD22,{0,40,45,50,55,60,65,70,75,80,100},{0,2,2.25,2.5,2.75,3,3.25,3.5,3.75,4,"Invalid Entry"})</f>
        <v>3.5</v>
      </c>
      <c r="AH22" s="42"/>
      <c r="AI22" s="51">
        <f t="shared" si="5"/>
        <v>11</v>
      </c>
      <c r="AJ22" s="51">
        <f t="shared" si="4"/>
        <v>3.82</v>
      </c>
      <c r="AK22" s="51" t="str">
        <f>LOOKUP(AJ22,{0,2,2.25,2.5,2.75,3,3.25,3.5,3.75,4},{"F","C-","C","C+","B-","B","B+","A-","A","A+"})</f>
        <v>A</v>
      </c>
    </row>
    <row r="23" spans="1:37">
      <c r="A23" s="51">
        <v>21</v>
      </c>
      <c r="B23" s="51">
        <v>2011236021</v>
      </c>
      <c r="C23" s="51">
        <v>13</v>
      </c>
      <c r="D23" s="51">
        <v>51</v>
      </c>
      <c r="E23" s="51">
        <v>21</v>
      </c>
      <c r="F23" s="51">
        <f t="shared" si="0"/>
        <v>71</v>
      </c>
      <c r="G23" s="51">
        <v>3</v>
      </c>
      <c r="H23" s="51" t="str">
        <f>LOOKUP(F23,{0,40,45,50,55,60,65,70,75,80,100},{"F","C-","C","C+","B-","B","B+","A-","A","A+","Invalid Entry"})</f>
        <v>A-</v>
      </c>
      <c r="I23" s="51">
        <f>LOOKUP(F23,{0,40,45,50,55,60,65,70,75,80,100},{0,2,2.25,2.5,2.75,3,3.25,3.5,3.75,4,"Invalid Entry"})</f>
        <v>3.5</v>
      </c>
      <c r="J23" s="42"/>
      <c r="K23" s="51">
        <v>10</v>
      </c>
      <c r="L23" s="51">
        <v>57</v>
      </c>
      <c r="M23" s="51">
        <v>21</v>
      </c>
      <c r="N23" s="51">
        <f t="shared" si="1"/>
        <v>74</v>
      </c>
      <c r="O23" s="51">
        <v>2</v>
      </c>
      <c r="P23" s="51" t="str">
        <f>LOOKUP(N23,{0,40,45,50,55,60,65,70,75,80,100},{"F","C-","C","C+","B-","B","B+","A-","A","A+","Invalid Entry"})</f>
        <v>A-</v>
      </c>
      <c r="Q23" s="51">
        <f>LOOKUP(N23,{0,40,45,50,55,60,65,70,75,80,100},{0,2,2.25,2.5,2.75,3,3.25,3.5,3.75,4,"Invalid Entry"})</f>
        <v>3.5</v>
      </c>
      <c r="R23" s="42"/>
      <c r="S23" s="51">
        <v>13</v>
      </c>
      <c r="T23" s="51">
        <v>64</v>
      </c>
      <c r="U23" s="51">
        <v>21</v>
      </c>
      <c r="V23" s="51">
        <f t="shared" si="2"/>
        <v>84</v>
      </c>
      <c r="W23" s="51">
        <v>2</v>
      </c>
      <c r="X23" s="51" t="str">
        <f>LOOKUP(V23,{0,40,45,50,55,60,65,70,75,80,100},{"F","C-","C","C+","B-","B","B+","A-","A","A+","Invalid Entry"})</f>
        <v>A+</v>
      </c>
      <c r="Y23" s="51">
        <f>LOOKUP(V23,{0,40,45,50,55,60,65,70,75,80,100},{0,2,2.25,2.5,2.75,3,3.25,3.5,3.75,4,"Invalid Entry"})</f>
        <v>4</v>
      </c>
      <c r="Z23" s="42"/>
      <c r="AA23" s="51">
        <v>19</v>
      </c>
      <c r="AB23" s="51">
        <v>47</v>
      </c>
      <c r="AC23" s="51">
        <v>21</v>
      </c>
      <c r="AD23" s="51">
        <f t="shared" si="3"/>
        <v>73</v>
      </c>
      <c r="AE23" s="51">
        <v>4</v>
      </c>
      <c r="AF23" s="51" t="str">
        <f>LOOKUP(AD23,{0,40,45,50,55,60,65,70,75,80,100},{"F","C-","C","C+","B-","B","B+","A-","A","A+","Invalid Entry"})</f>
        <v>A-</v>
      </c>
      <c r="AG23" s="51">
        <f>LOOKUP(AD23,{0,40,45,50,55,60,65,70,75,80,100},{0,2,2.25,2.5,2.75,3,3.25,3.5,3.75,4,"Invalid Entry"})</f>
        <v>3.5</v>
      </c>
      <c r="AH23" s="42"/>
      <c r="AI23" s="51">
        <f t="shared" si="5"/>
        <v>11</v>
      </c>
      <c r="AJ23" s="51">
        <f t="shared" si="4"/>
        <v>3.59</v>
      </c>
      <c r="AK23" s="51" t="str">
        <f>LOOKUP(AJ23,{0,2,2.25,2.5,2.75,3,3.25,3.5,3.75,4},{"F","C-","C","C+","B-","B","B+","A-","A","A+"})</f>
        <v>A-</v>
      </c>
    </row>
    <row r="24" spans="1:37">
      <c r="A24" s="51">
        <v>22</v>
      </c>
      <c r="B24" s="51">
        <v>2011236022</v>
      </c>
      <c r="C24" s="51">
        <v>14</v>
      </c>
      <c r="D24" s="51">
        <v>60</v>
      </c>
      <c r="E24" s="51">
        <v>20</v>
      </c>
      <c r="F24" s="51">
        <f t="shared" si="0"/>
        <v>80</v>
      </c>
      <c r="G24" s="51">
        <v>3</v>
      </c>
      <c r="H24" s="51" t="str">
        <f>LOOKUP(F24,{0,40,45,50,55,60,65,70,75,80,100},{"F","C-","C","C+","B-","B","B+","A-","A","A+","Invalid Entry"})</f>
        <v>A+</v>
      </c>
      <c r="I24" s="51">
        <f>LOOKUP(F24,{0,40,45,50,55,60,65,70,75,80,100},{0,2,2.25,2.5,2.75,3,3.25,3.5,3.75,4,"Invalid Entry"})</f>
        <v>4</v>
      </c>
      <c r="J24" s="42"/>
      <c r="K24" s="51">
        <v>11</v>
      </c>
      <c r="L24" s="51">
        <v>42</v>
      </c>
      <c r="M24" s="51">
        <v>20</v>
      </c>
      <c r="N24" s="51">
        <f t="shared" si="1"/>
        <v>59</v>
      </c>
      <c r="O24" s="51">
        <v>2</v>
      </c>
      <c r="P24" s="51" t="str">
        <f>LOOKUP(N24,{0,40,45,50,55,60,65,70,75,80,100},{"F","C-","C","C+","B-","B","B+","A-","A","A+","Invalid Entry"})</f>
        <v>B-</v>
      </c>
      <c r="Q24" s="51">
        <f>LOOKUP(N24,{0,40,45,50,55,60,65,70,75,80,100},{0,2,2.25,2.5,2.75,3,3.25,3.5,3.75,4,"Invalid Entry"})</f>
        <v>2.75</v>
      </c>
      <c r="R24" s="42"/>
      <c r="S24" s="51">
        <v>11</v>
      </c>
      <c r="T24" s="51">
        <v>58</v>
      </c>
      <c r="U24" s="51">
        <v>20</v>
      </c>
      <c r="V24" s="51">
        <f t="shared" si="2"/>
        <v>75</v>
      </c>
      <c r="W24" s="51">
        <v>2</v>
      </c>
      <c r="X24" s="51" t="str">
        <f>LOOKUP(V24,{0,40,45,50,55,60,65,70,75,80,100},{"F","C-","C","C+","B-","B","B+","A-","A","A+","Invalid Entry"})</f>
        <v>A</v>
      </c>
      <c r="Y24" s="51">
        <f>LOOKUP(V24,{0,40,45,50,55,60,65,70,75,80,100},{0,2,2.25,2.5,2.75,3,3.25,3.5,3.75,4,"Invalid Entry"})</f>
        <v>3.75</v>
      </c>
      <c r="Z24" s="42"/>
      <c r="AA24" s="51">
        <v>8</v>
      </c>
      <c r="AB24" s="51">
        <v>65</v>
      </c>
      <c r="AC24" s="51">
        <v>20</v>
      </c>
      <c r="AD24" s="51">
        <f t="shared" si="3"/>
        <v>79</v>
      </c>
      <c r="AE24" s="51">
        <v>4</v>
      </c>
      <c r="AF24" s="51" t="str">
        <f>LOOKUP(AD24,{0,40,45,50,55,60,65,70,75,80,100},{"F","C-","C","C+","B-","B","B+","A-","A","A+","Invalid Entry"})</f>
        <v>A</v>
      </c>
      <c r="AG24" s="51">
        <f>LOOKUP(AD24,{0,40,45,50,55,60,65,70,75,80,100},{0,2,2.25,2.5,2.75,3,3.25,3.5,3.75,4,"Invalid Entry"})</f>
        <v>3.75</v>
      </c>
      <c r="AH24" s="42"/>
      <c r="AI24" s="51">
        <f t="shared" si="5"/>
        <v>11</v>
      </c>
      <c r="AJ24" s="51">
        <f t="shared" si="4"/>
        <v>3.64</v>
      </c>
      <c r="AK24" s="51" t="str">
        <f>LOOKUP(AJ24,{0,2,2.25,2.5,2.75,3,3.25,3.5,3.75,4},{"F","C-","C","C+","B-","B","B+","A-","A","A+"})</f>
        <v>A-</v>
      </c>
    </row>
    <row r="25" spans="1:37">
      <c r="A25" s="51">
        <v>23</v>
      </c>
      <c r="B25" s="51">
        <v>2011236023</v>
      </c>
      <c r="C25" s="51">
        <v>7</v>
      </c>
      <c r="D25" s="51">
        <v>52</v>
      </c>
      <c r="E25" s="51">
        <v>31</v>
      </c>
      <c r="F25" s="51">
        <f t="shared" si="0"/>
        <v>69</v>
      </c>
      <c r="G25" s="51">
        <v>3</v>
      </c>
      <c r="H25" s="51" t="str">
        <f>LOOKUP(F25,{0,40,45,50,55,60,65,70,75,80,100},{"F","C-","C","C+","B-","B","B+","A-","A","A+","Invalid Entry"})</f>
        <v>B+</v>
      </c>
      <c r="I25" s="51">
        <f>LOOKUP(F25,{0,40,45,50,55,60,65,70,75,80,100},{0,2,2.25,2.5,2.75,3,3.25,3.5,3.75,4,"Invalid Entry"})</f>
        <v>3.25</v>
      </c>
      <c r="J25" s="42"/>
      <c r="K25" s="51">
        <v>11</v>
      </c>
      <c r="L25" s="51">
        <v>40</v>
      </c>
      <c r="M25" s="51">
        <v>31</v>
      </c>
      <c r="N25" s="51">
        <f t="shared" si="1"/>
        <v>61</v>
      </c>
      <c r="O25" s="51">
        <v>2</v>
      </c>
      <c r="P25" s="51" t="str">
        <f>LOOKUP(N25,{0,40,45,50,55,60,65,70,75,80,100},{"F","C-","C","C+","B-","B","B+","A-","A","A+","Invalid Entry"})</f>
        <v>B</v>
      </c>
      <c r="Q25" s="51">
        <f>LOOKUP(N25,{0,40,45,50,55,60,65,70,75,80,100},{0,2,2.25,2.5,2.75,3,3.25,3.5,3.75,4,"Invalid Entry"})</f>
        <v>3</v>
      </c>
      <c r="R25" s="42"/>
      <c r="S25" s="51">
        <v>20</v>
      </c>
      <c r="T25" s="51">
        <v>55</v>
      </c>
      <c r="U25" s="51">
        <v>31</v>
      </c>
      <c r="V25" s="51">
        <f t="shared" si="2"/>
        <v>85</v>
      </c>
      <c r="W25" s="51">
        <v>2</v>
      </c>
      <c r="X25" s="51" t="str">
        <f>LOOKUP(V25,{0,40,45,50,55,60,65,70,75,80,100},{"F","C-","C","C+","B-","B","B+","A-","A","A+","Invalid Entry"})</f>
        <v>A+</v>
      </c>
      <c r="Y25" s="51">
        <f>LOOKUP(V25,{0,40,45,50,55,60,65,70,75,80,100},{0,2,2.25,2.5,2.75,3,3.25,3.5,3.75,4,"Invalid Entry"})</f>
        <v>4</v>
      </c>
      <c r="Z25" s="42"/>
      <c r="AA25" s="51">
        <v>10</v>
      </c>
      <c r="AB25" s="51">
        <v>48</v>
      </c>
      <c r="AC25" s="51">
        <v>31</v>
      </c>
      <c r="AD25" s="51">
        <f t="shared" si="3"/>
        <v>68</v>
      </c>
      <c r="AE25" s="51">
        <v>4</v>
      </c>
      <c r="AF25" s="51" t="str">
        <f>LOOKUP(AD25,{0,40,45,50,55,60,65,70,75,80,100},{"F","C-","C","C+","B-","B","B+","A-","A","A+","Invalid Entry"})</f>
        <v>B+</v>
      </c>
      <c r="AG25" s="51">
        <f>LOOKUP(AD25,{0,40,45,50,55,60,65,70,75,80,100},{0,2,2.25,2.5,2.75,3,3.25,3.5,3.75,4,"Invalid Entry"})</f>
        <v>3.25</v>
      </c>
      <c r="AH25" s="42"/>
      <c r="AI25" s="51">
        <f t="shared" si="5"/>
        <v>11</v>
      </c>
      <c r="AJ25" s="51">
        <f t="shared" si="4"/>
        <v>3.34</v>
      </c>
      <c r="AK25" s="51" t="str">
        <f>LOOKUP(AJ25,{0,2,2.25,2.5,2.75,3,3.25,3.5,3.75,4},{"F","C-","C","C+","B-","B","B+","A-","A","A+"})</f>
        <v>B+</v>
      </c>
    </row>
    <row r="26" spans="1:37">
      <c r="A26" s="51">
        <v>24</v>
      </c>
      <c r="B26" s="51">
        <v>2011236024</v>
      </c>
      <c r="C26" s="51">
        <v>18</v>
      </c>
      <c r="D26" s="51">
        <v>55</v>
      </c>
      <c r="E26" s="51">
        <v>27</v>
      </c>
      <c r="F26" s="51">
        <f t="shared" si="0"/>
        <v>82</v>
      </c>
      <c r="G26" s="51">
        <v>3</v>
      </c>
      <c r="H26" s="51" t="str">
        <f>LOOKUP(F26,{0,40,45,50,55,60,65,70,75,80,100},{"F","C-","C","C+","B-","B","B+","A-","A","A+","Invalid Entry"})</f>
        <v>A+</v>
      </c>
      <c r="I26" s="51">
        <f>LOOKUP(F26,{0,40,45,50,55,60,65,70,75,80,100},{0,2,2.25,2.5,2.75,3,3.25,3.5,3.75,4,"Invalid Entry"})</f>
        <v>4</v>
      </c>
      <c r="J26" s="42"/>
      <c r="K26" s="51">
        <v>14</v>
      </c>
      <c r="L26" s="51">
        <v>58</v>
      </c>
      <c r="M26" s="51">
        <v>27</v>
      </c>
      <c r="N26" s="51">
        <f t="shared" si="1"/>
        <v>81</v>
      </c>
      <c r="O26" s="51">
        <v>2</v>
      </c>
      <c r="P26" s="51" t="str">
        <f>LOOKUP(N26,{0,40,45,50,55,60,65,70,75,80,100},{"F","C-","C","C+","B-","B","B+","A-","A","A+","Invalid Entry"})</f>
        <v>A+</v>
      </c>
      <c r="Q26" s="51">
        <f>LOOKUP(N26,{0,40,45,50,55,60,65,70,75,80,100},{0,2,2.25,2.5,2.75,3,3.25,3.5,3.75,4,"Invalid Entry"})</f>
        <v>4</v>
      </c>
      <c r="R26" s="42"/>
      <c r="S26" s="51">
        <v>17</v>
      </c>
      <c r="T26" s="51">
        <v>58</v>
      </c>
      <c r="U26" s="51">
        <v>27</v>
      </c>
      <c r="V26" s="51">
        <f t="shared" si="2"/>
        <v>84</v>
      </c>
      <c r="W26" s="51">
        <v>2</v>
      </c>
      <c r="X26" s="51" t="str">
        <f>LOOKUP(V26,{0,40,45,50,55,60,65,70,75,80,100},{"F","C-","C","C+","B-","B","B+","A-","A","A+","Invalid Entry"})</f>
        <v>A+</v>
      </c>
      <c r="Y26" s="51">
        <f>LOOKUP(V26,{0,40,45,50,55,60,65,70,75,80,100},{0,2,2.25,2.5,2.75,3,3.25,3.5,3.75,4,"Invalid Entry"})</f>
        <v>4</v>
      </c>
      <c r="Z26" s="42"/>
      <c r="AA26" s="51">
        <v>19</v>
      </c>
      <c r="AB26" s="51">
        <v>43</v>
      </c>
      <c r="AC26" s="51">
        <v>27</v>
      </c>
      <c r="AD26" s="51">
        <f t="shared" si="3"/>
        <v>71</v>
      </c>
      <c r="AE26" s="51">
        <v>4</v>
      </c>
      <c r="AF26" s="51" t="str">
        <f>LOOKUP(AD26,{0,40,45,50,55,60,65,70,75,80,100},{"F","C-","C","C+","B-","B","B+","A-","A","A+","Invalid Entry"})</f>
        <v>A-</v>
      </c>
      <c r="AG26" s="51">
        <f>LOOKUP(AD26,{0,40,45,50,55,60,65,70,75,80,100},{0,2,2.25,2.5,2.75,3,3.25,3.5,3.75,4,"Invalid Entry"})</f>
        <v>3.5</v>
      </c>
      <c r="AH26" s="42"/>
      <c r="AI26" s="51">
        <f t="shared" si="5"/>
        <v>11</v>
      </c>
      <c r="AJ26" s="51">
        <f t="shared" si="4"/>
        <v>3.82</v>
      </c>
      <c r="AK26" s="51" t="str">
        <f>LOOKUP(AJ26,{0,2,2.25,2.5,2.75,3,3.25,3.5,3.75,4},{"F","C-","C","C+","B-","B","B+","A-","A","A+"})</f>
        <v>A</v>
      </c>
    </row>
    <row r="27" spans="1:37">
      <c r="A27" s="51">
        <v>25</v>
      </c>
      <c r="B27" s="51">
        <v>2011236025</v>
      </c>
      <c r="C27" s="51">
        <v>12</v>
      </c>
      <c r="D27" s="51">
        <v>44</v>
      </c>
      <c r="E27" s="51">
        <v>22</v>
      </c>
      <c r="F27" s="51">
        <f t="shared" si="0"/>
        <v>63</v>
      </c>
      <c r="G27" s="51">
        <v>3</v>
      </c>
      <c r="H27" s="51" t="str">
        <f>LOOKUP(F27,{0,40,45,50,55,60,65,70,75,80,100},{"F","C-","C","C+","B-","B","B+","A-","A","A+","Invalid Entry"})</f>
        <v>B</v>
      </c>
      <c r="I27" s="51">
        <f>LOOKUP(F27,{0,40,45,50,55,60,65,70,75,80,100},{0,2,2.25,2.5,2.75,3,3.25,3.5,3.75,4,"Invalid Entry"})</f>
        <v>3</v>
      </c>
      <c r="J27" s="42"/>
      <c r="K27" s="51">
        <v>11</v>
      </c>
      <c r="L27" s="51">
        <v>66</v>
      </c>
      <c r="M27" s="51">
        <v>22</v>
      </c>
      <c r="N27" s="51">
        <f t="shared" si="1"/>
        <v>84</v>
      </c>
      <c r="O27" s="51">
        <v>2</v>
      </c>
      <c r="P27" s="51" t="str">
        <f>LOOKUP(N27,{0,40,45,50,55,60,65,70,75,80,100},{"F","C-","C","C+","B-","B","B+","A-","A","A+","Invalid Entry"})</f>
        <v>A+</v>
      </c>
      <c r="Q27" s="51">
        <f>LOOKUP(N27,{0,40,45,50,55,60,65,70,75,80,100},{0,2,2.25,2.5,2.75,3,3.25,3.5,3.75,4,"Invalid Entry"})</f>
        <v>4</v>
      </c>
      <c r="R27" s="42"/>
      <c r="S27" s="51">
        <v>18</v>
      </c>
      <c r="T27" s="51">
        <v>63</v>
      </c>
      <c r="U27" s="51">
        <v>22</v>
      </c>
      <c r="V27" s="51">
        <f t="shared" si="2"/>
        <v>88</v>
      </c>
      <c r="W27" s="51">
        <v>2</v>
      </c>
      <c r="X27" s="51" t="str">
        <f>LOOKUP(V27,{0,40,45,50,55,60,65,70,75,80,100},{"F","C-","C","C+","B-","B","B+","A-","A","A+","Invalid Entry"})</f>
        <v>A+</v>
      </c>
      <c r="Y27" s="51">
        <f>LOOKUP(V27,{0,40,45,50,55,60,65,70,75,80,100},{0,2,2.25,2.5,2.75,3,3.25,3.5,3.75,4,"Invalid Entry"})</f>
        <v>4</v>
      </c>
      <c r="Z27" s="42"/>
      <c r="AA27" s="51">
        <v>17</v>
      </c>
      <c r="AB27" s="51">
        <v>60</v>
      </c>
      <c r="AC27" s="51">
        <v>22</v>
      </c>
      <c r="AD27" s="51">
        <f t="shared" si="3"/>
        <v>84</v>
      </c>
      <c r="AE27" s="51">
        <v>4</v>
      </c>
      <c r="AF27" s="51" t="str">
        <f>LOOKUP(AD27,{0,40,45,50,55,60,65,70,75,80,100},{"F","C-","C","C+","B-","B","B+","A-","A","A+","Invalid Entry"})</f>
        <v>A+</v>
      </c>
      <c r="AG27" s="51">
        <f>LOOKUP(AD27,{0,40,45,50,55,60,65,70,75,80,100},{0,2,2.25,2.5,2.75,3,3.25,3.5,3.75,4,"Invalid Entry"})</f>
        <v>4</v>
      </c>
      <c r="AH27" s="42"/>
      <c r="AI27" s="51">
        <f t="shared" si="5"/>
        <v>11</v>
      </c>
      <c r="AJ27" s="51">
        <f t="shared" si="4"/>
        <v>3.73</v>
      </c>
      <c r="AK27" s="51" t="str">
        <f>LOOKUP(AJ27,{0,2,2.25,2.5,2.75,3,3.25,3.5,3.75,4},{"F","C-","C","C+","B-","B","B+","A-","A","A+"})</f>
        <v>A-</v>
      </c>
    </row>
    <row r="28" spans="1:37">
      <c r="A28" s="51">
        <v>26</v>
      </c>
      <c r="B28" s="51">
        <v>2011236026</v>
      </c>
      <c r="C28" s="51">
        <v>15</v>
      </c>
      <c r="D28" s="51">
        <v>50</v>
      </c>
      <c r="E28" s="51">
        <v>32</v>
      </c>
      <c r="F28" s="51">
        <f t="shared" si="0"/>
        <v>75</v>
      </c>
      <c r="G28" s="51">
        <v>3</v>
      </c>
      <c r="H28" s="51" t="str">
        <f>LOOKUP(F28,{0,40,45,50,55,60,65,70,75,80,100},{"F","C-","C","C+","B-","B","B+","A-","A","A+","Invalid Entry"})</f>
        <v>A</v>
      </c>
      <c r="I28" s="51">
        <f>LOOKUP(F28,{0,40,45,50,55,60,65,70,75,80,100},{0,2,2.25,2.5,2.75,3,3.25,3.5,3.75,4,"Invalid Entry"})</f>
        <v>3.75</v>
      </c>
      <c r="J28" s="42"/>
      <c r="K28" s="51">
        <v>11</v>
      </c>
      <c r="L28" s="51">
        <v>67</v>
      </c>
      <c r="M28" s="51">
        <v>32</v>
      </c>
      <c r="N28" s="51">
        <f t="shared" si="1"/>
        <v>88</v>
      </c>
      <c r="O28" s="51">
        <v>2</v>
      </c>
      <c r="P28" s="51" t="str">
        <f>LOOKUP(N28,{0,40,45,50,55,60,65,70,75,80,100},{"F","C-","C","C+","B-","B","B+","A-","A","A+","Invalid Entry"})</f>
        <v>A+</v>
      </c>
      <c r="Q28" s="51">
        <f>LOOKUP(N28,{0,40,45,50,55,60,65,70,75,80,100},{0,2,2.25,2.5,2.75,3,3.25,3.5,3.75,4,"Invalid Entry"})</f>
        <v>4</v>
      </c>
      <c r="R28" s="42"/>
      <c r="S28" s="51">
        <v>20</v>
      </c>
      <c r="T28" s="51">
        <v>66</v>
      </c>
      <c r="U28" s="51">
        <v>32</v>
      </c>
      <c r="V28" s="51">
        <f t="shared" si="2"/>
        <v>96</v>
      </c>
      <c r="W28" s="51">
        <v>2</v>
      </c>
      <c r="X28" s="51" t="str">
        <f>LOOKUP(V28,{0,40,45,50,55,60,65,70,75,80,100},{"F","C-","C","C+","B-","B","B+","A-","A","A+","Invalid Entry"})</f>
        <v>A+</v>
      </c>
      <c r="Y28" s="51">
        <f>LOOKUP(V28,{0,40,45,50,55,60,65,70,75,80,100},{0,2,2.25,2.5,2.75,3,3.25,3.5,3.75,4,"Invalid Entry"})</f>
        <v>4</v>
      </c>
      <c r="Z28" s="42"/>
      <c r="AA28" s="51">
        <v>11</v>
      </c>
      <c r="AB28" s="51">
        <v>57</v>
      </c>
      <c r="AC28" s="51">
        <v>32</v>
      </c>
      <c r="AD28" s="51">
        <f t="shared" si="3"/>
        <v>78</v>
      </c>
      <c r="AE28" s="51">
        <v>4</v>
      </c>
      <c r="AF28" s="51" t="str">
        <f>LOOKUP(AD28,{0,40,45,50,55,60,65,70,75,80,100},{"F","C-","C","C+","B-","B","B+","A-","A","A+","Invalid Entry"})</f>
        <v>A</v>
      </c>
      <c r="AG28" s="51">
        <f>LOOKUP(AD28,{0,40,45,50,55,60,65,70,75,80,100},{0,2,2.25,2.5,2.75,3,3.25,3.5,3.75,4,"Invalid Entry"})</f>
        <v>3.75</v>
      </c>
      <c r="AH28" s="42"/>
      <c r="AI28" s="51">
        <f t="shared" si="5"/>
        <v>11</v>
      </c>
      <c r="AJ28" s="51">
        <f t="shared" si="4"/>
        <v>3.84</v>
      </c>
      <c r="AK28" s="51" t="str">
        <f>LOOKUP(AJ28,{0,2,2.25,2.5,2.75,3,3.25,3.5,3.75,4},{"F","C-","C","C+","B-","B","B+","A-","A","A+"})</f>
        <v>A</v>
      </c>
    </row>
    <row r="29" spans="1:37">
      <c r="A29" s="51">
        <v>27</v>
      </c>
      <c r="B29" s="51">
        <v>2011236027</v>
      </c>
      <c r="C29" s="51">
        <v>19</v>
      </c>
      <c r="D29" s="51">
        <v>61</v>
      </c>
      <c r="E29" s="51">
        <v>25</v>
      </c>
      <c r="F29" s="51">
        <f t="shared" si="0"/>
        <v>88</v>
      </c>
      <c r="G29" s="51">
        <v>3</v>
      </c>
      <c r="H29" s="51" t="str">
        <f>LOOKUP(F29,{0,40,45,50,55,60,65,70,75,80,100},{"F","C-","C","C+","B-","B","B+","A-","A","A+","Invalid Entry"})</f>
        <v>A+</v>
      </c>
      <c r="I29" s="51">
        <f>LOOKUP(F29,{0,40,45,50,55,60,65,70,75,80,100},{0,2,2.25,2.5,2.75,3,3.25,3.5,3.75,4,"Invalid Entry"})</f>
        <v>4</v>
      </c>
      <c r="J29" s="42"/>
      <c r="K29" s="51">
        <v>16</v>
      </c>
      <c r="L29" s="51">
        <v>52</v>
      </c>
      <c r="M29" s="51">
        <v>25</v>
      </c>
      <c r="N29" s="51">
        <f t="shared" si="1"/>
        <v>76</v>
      </c>
      <c r="O29" s="51">
        <v>2</v>
      </c>
      <c r="P29" s="51" t="str">
        <f>LOOKUP(N29,{0,40,45,50,55,60,65,70,75,80,100},{"F","C-","C","C+","B-","B","B+","A-","A","A+","Invalid Entry"})</f>
        <v>A</v>
      </c>
      <c r="Q29" s="51">
        <f>LOOKUP(N29,{0,40,45,50,55,60,65,70,75,80,100},{0,2,2.25,2.5,2.75,3,3.25,3.5,3.75,4,"Invalid Entry"})</f>
        <v>3.75</v>
      </c>
      <c r="R29" s="42"/>
      <c r="S29" s="51">
        <v>19</v>
      </c>
      <c r="T29" s="51">
        <v>45</v>
      </c>
      <c r="U29" s="51">
        <v>25</v>
      </c>
      <c r="V29" s="51">
        <f t="shared" si="2"/>
        <v>72</v>
      </c>
      <c r="W29" s="51">
        <v>2</v>
      </c>
      <c r="X29" s="51" t="str">
        <f>LOOKUP(V29,{0,40,45,50,55,60,65,70,75,80,100},{"F","C-","C","C+","B-","B","B+","A-","A","A+","Invalid Entry"})</f>
        <v>A-</v>
      </c>
      <c r="Y29" s="51">
        <f>LOOKUP(V29,{0,40,45,50,55,60,65,70,75,80,100},{0,2,2.25,2.5,2.75,3,3.25,3.5,3.75,4,"Invalid Entry"})</f>
        <v>3.5</v>
      </c>
      <c r="Z29" s="42"/>
      <c r="AA29" s="51">
        <v>17</v>
      </c>
      <c r="AB29" s="51">
        <v>65</v>
      </c>
      <c r="AC29" s="51">
        <v>25</v>
      </c>
      <c r="AD29" s="51">
        <f t="shared" si="3"/>
        <v>90</v>
      </c>
      <c r="AE29" s="51">
        <v>4</v>
      </c>
      <c r="AF29" s="51" t="str">
        <f>LOOKUP(AD29,{0,40,45,50,55,60,65,70,75,80,100},{"F","C-","C","C+","B-","B","B+","A-","A","A+","Invalid Entry"})</f>
        <v>A+</v>
      </c>
      <c r="AG29" s="51">
        <f>LOOKUP(AD29,{0,40,45,50,55,60,65,70,75,80,100},{0,2,2.25,2.5,2.75,3,3.25,3.5,3.75,4,"Invalid Entry"})</f>
        <v>4</v>
      </c>
      <c r="AH29" s="42"/>
      <c r="AI29" s="51">
        <f t="shared" si="5"/>
        <v>11</v>
      </c>
      <c r="AJ29" s="51">
        <f t="shared" si="4"/>
        <v>3.86</v>
      </c>
      <c r="AK29" s="51" t="str">
        <f>LOOKUP(AJ29,{0,2,2.25,2.5,2.75,3,3.25,3.5,3.75,4},{"F","C-","C","C+","B-","B","B+","A-","A","A+"})</f>
        <v>A</v>
      </c>
    </row>
    <row r="30" spans="1:37">
      <c r="A30" s="51">
        <v>28</v>
      </c>
      <c r="B30" s="51">
        <v>2011236028</v>
      </c>
      <c r="C30" s="51">
        <v>16</v>
      </c>
      <c r="D30" s="51">
        <v>52</v>
      </c>
      <c r="E30" s="51">
        <v>31</v>
      </c>
      <c r="F30" s="51">
        <f t="shared" si="0"/>
        <v>78</v>
      </c>
      <c r="G30" s="51">
        <v>3</v>
      </c>
      <c r="H30" s="51" t="str">
        <f>LOOKUP(F30,{0,40,45,50,55,60,65,70,75,80,100},{"F","C-","C","C+","B-","B","B+","A-","A","A+","Invalid Entry"})</f>
        <v>A</v>
      </c>
      <c r="I30" s="51">
        <f>LOOKUP(F30,{0,40,45,50,55,60,65,70,75,80,100},{0,2,2.25,2.5,2.75,3,3.25,3.5,3.75,4,"Invalid Entry"})</f>
        <v>3.75</v>
      </c>
      <c r="J30" s="42"/>
      <c r="K30" s="51">
        <v>18</v>
      </c>
      <c r="L30" s="51">
        <v>41</v>
      </c>
      <c r="M30" s="51">
        <v>31</v>
      </c>
      <c r="N30" s="51">
        <f t="shared" si="1"/>
        <v>69</v>
      </c>
      <c r="O30" s="51">
        <v>2</v>
      </c>
      <c r="P30" s="51" t="str">
        <f>LOOKUP(N30,{0,40,45,50,55,60,65,70,75,80,100},{"F","C-","C","C+","B-","B","B+","A-","A","A+","Invalid Entry"})</f>
        <v>B+</v>
      </c>
      <c r="Q30" s="51">
        <f>LOOKUP(N30,{0,40,45,50,55,60,65,70,75,80,100},{0,2,2.25,2.5,2.75,3,3.25,3.5,3.75,4,"Invalid Entry"})</f>
        <v>3.25</v>
      </c>
      <c r="R30" s="42"/>
      <c r="S30" s="51">
        <v>20</v>
      </c>
      <c r="T30" s="51">
        <v>59</v>
      </c>
      <c r="U30" s="51">
        <v>31</v>
      </c>
      <c r="V30" s="51">
        <f t="shared" si="2"/>
        <v>89</v>
      </c>
      <c r="W30" s="51">
        <v>2</v>
      </c>
      <c r="X30" s="51" t="str">
        <f>LOOKUP(V30,{0,40,45,50,55,60,65,70,75,80,100},{"F","C-","C","C+","B-","B","B+","A-","A","A+","Invalid Entry"})</f>
        <v>A+</v>
      </c>
      <c r="Y30" s="51">
        <f>LOOKUP(V30,{0,40,45,50,55,60,65,70,75,80,100},{0,2,2.25,2.5,2.75,3,3.25,3.5,3.75,4,"Invalid Entry"})</f>
        <v>4</v>
      </c>
      <c r="Z30" s="42"/>
      <c r="AA30" s="51">
        <v>17</v>
      </c>
      <c r="AB30" s="51">
        <v>69</v>
      </c>
      <c r="AC30" s="51">
        <v>31</v>
      </c>
      <c r="AD30" s="51">
        <f t="shared" si="3"/>
        <v>96</v>
      </c>
      <c r="AE30" s="51">
        <v>4</v>
      </c>
      <c r="AF30" s="51" t="str">
        <f>LOOKUP(AD30,{0,40,45,50,55,60,65,70,75,80,100},{"F","C-","C","C+","B-","B","B+","A-","A","A+","Invalid Entry"})</f>
        <v>A+</v>
      </c>
      <c r="AG30" s="51">
        <f>LOOKUP(AD30,{0,40,45,50,55,60,65,70,75,80,100},{0,2,2.25,2.5,2.75,3,3.25,3.5,3.75,4,"Invalid Entry"})</f>
        <v>4</v>
      </c>
      <c r="AH30" s="42"/>
      <c r="AI30" s="51">
        <f t="shared" si="5"/>
        <v>11</v>
      </c>
      <c r="AJ30" s="51">
        <f t="shared" si="4"/>
        <v>3.8</v>
      </c>
      <c r="AK30" s="51" t="str">
        <f>LOOKUP(AJ30,{0,2,2.25,2.5,2.75,3,3.25,3.5,3.75,4},{"F","C-","C","C+","B-","B","B+","A-","A","A+"})</f>
        <v>A</v>
      </c>
    </row>
    <row r="31" spans="1:37">
      <c r="A31" s="51">
        <v>29</v>
      </c>
      <c r="B31" s="51">
        <v>2011236029</v>
      </c>
      <c r="C31" s="51">
        <v>14</v>
      </c>
      <c r="D31" s="51">
        <v>54</v>
      </c>
      <c r="E31" s="51">
        <v>26</v>
      </c>
      <c r="F31" s="51">
        <f t="shared" si="0"/>
        <v>76</v>
      </c>
      <c r="G31" s="51">
        <v>3</v>
      </c>
      <c r="H31" s="51" t="str">
        <f>LOOKUP(F31,{0,40,45,50,55,60,65,70,75,80,100},{"F","C-","C","C+","B-","B","B+","A-","A","A+","Invalid Entry"})</f>
        <v>A</v>
      </c>
      <c r="I31" s="51">
        <f>LOOKUP(F31,{0,40,45,50,55,60,65,70,75,80,100},{0,2,2.25,2.5,2.75,3,3.25,3.5,3.75,4,"Invalid Entry"})</f>
        <v>3.75</v>
      </c>
      <c r="J31" s="42"/>
      <c r="K31" s="51">
        <v>16</v>
      </c>
      <c r="L31" s="51">
        <v>69</v>
      </c>
      <c r="M31" s="51">
        <v>26</v>
      </c>
      <c r="N31" s="51">
        <f t="shared" si="1"/>
        <v>93</v>
      </c>
      <c r="O31" s="51">
        <v>2</v>
      </c>
      <c r="P31" s="51" t="str">
        <f>LOOKUP(N31,{0,40,45,50,55,60,65,70,75,80,100},{"F","C-","C","C+","B-","B","B+","A-","A","A+","Invalid Entry"})</f>
        <v>A+</v>
      </c>
      <c r="Q31" s="51">
        <f>LOOKUP(N31,{0,40,45,50,55,60,65,70,75,80,100},{0,2,2.25,2.5,2.75,3,3.25,3.5,3.75,4,"Invalid Entry"})</f>
        <v>4</v>
      </c>
      <c r="R31" s="42"/>
      <c r="S31" s="51">
        <v>19</v>
      </c>
      <c r="T31" s="51">
        <v>42</v>
      </c>
      <c r="U31" s="51">
        <v>26</v>
      </c>
      <c r="V31" s="51">
        <f t="shared" si="2"/>
        <v>69</v>
      </c>
      <c r="W31" s="51">
        <v>2</v>
      </c>
      <c r="X31" s="51" t="str">
        <f>LOOKUP(V31,{0,40,45,50,55,60,65,70,75,80,100},{"F","C-","C","C+","B-","B","B+","A-","A","A+","Invalid Entry"})</f>
        <v>B+</v>
      </c>
      <c r="Y31" s="51">
        <f>LOOKUP(V31,{0,40,45,50,55,60,65,70,75,80,100},{0,2,2.25,2.5,2.75,3,3.25,3.5,3.75,4,"Invalid Entry"})</f>
        <v>3.25</v>
      </c>
      <c r="Z31" s="42"/>
      <c r="AA31" s="51">
        <v>17</v>
      </c>
      <c r="AB31" s="51">
        <v>69</v>
      </c>
      <c r="AC31" s="51">
        <v>26</v>
      </c>
      <c r="AD31" s="51">
        <f t="shared" si="3"/>
        <v>94</v>
      </c>
      <c r="AE31" s="51">
        <v>4</v>
      </c>
      <c r="AF31" s="51" t="str">
        <f>LOOKUP(AD31,{0,40,45,50,55,60,65,70,75,80,100},{"F","C-","C","C+","B-","B","B+","A-","A","A+","Invalid Entry"})</f>
        <v>A+</v>
      </c>
      <c r="AG31" s="51">
        <f>LOOKUP(AD31,{0,40,45,50,55,60,65,70,75,80,100},{0,2,2.25,2.5,2.75,3,3.25,3.5,3.75,4,"Invalid Entry"})</f>
        <v>4</v>
      </c>
      <c r="AH31" s="42"/>
      <c r="AI31" s="51">
        <f t="shared" si="5"/>
        <v>11</v>
      </c>
      <c r="AJ31" s="51">
        <f t="shared" si="4"/>
        <v>3.8</v>
      </c>
      <c r="AK31" s="51" t="str">
        <f>LOOKUP(AJ31,{0,2,2.25,2.5,2.75,3,3.25,3.5,3.75,4},{"F","C-","C","C+","B-","B","B+","A-","A","A+"})</f>
        <v>A</v>
      </c>
    </row>
    <row r="32" spans="1:37">
      <c r="A32" s="51">
        <v>30</v>
      </c>
      <c r="B32" s="51">
        <v>2011236030</v>
      </c>
      <c r="C32" s="51">
        <v>19</v>
      </c>
      <c r="D32" s="51">
        <v>51</v>
      </c>
      <c r="E32" s="51">
        <v>27</v>
      </c>
      <c r="F32" s="51">
        <f t="shared" si="0"/>
        <v>79</v>
      </c>
      <c r="G32" s="51">
        <v>3</v>
      </c>
      <c r="H32" s="51" t="str">
        <f>LOOKUP(F32,{0,40,45,50,55,60,65,70,75,80,100},{"F","C-","C","C+","B-","B","B+","A-","A","A+","Invalid Entry"})</f>
        <v>A</v>
      </c>
      <c r="I32" s="51">
        <f>LOOKUP(F32,{0,40,45,50,55,60,65,70,75,80,100},{0,2,2.25,2.5,2.75,3,3.25,3.5,3.75,4,"Invalid Entry"})</f>
        <v>3.75</v>
      </c>
      <c r="J32" s="42"/>
      <c r="K32" s="51">
        <v>12</v>
      </c>
      <c r="L32" s="51">
        <v>63</v>
      </c>
      <c r="M32" s="51">
        <v>27</v>
      </c>
      <c r="N32" s="51">
        <f t="shared" si="1"/>
        <v>84</v>
      </c>
      <c r="O32" s="51">
        <v>2</v>
      </c>
      <c r="P32" s="51" t="str">
        <f>LOOKUP(N32,{0,40,45,50,55,60,65,70,75,80,100},{"F","C-","C","C+","B-","B","B+","A-","A","A+","Invalid Entry"})</f>
        <v>A+</v>
      </c>
      <c r="Q32" s="51">
        <f>LOOKUP(N32,{0,40,45,50,55,60,65,70,75,80,100},{0,2,2.25,2.5,2.75,3,3.25,3.5,3.75,4,"Invalid Entry"})</f>
        <v>4</v>
      </c>
      <c r="R32" s="42"/>
      <c r="S32" s="51">
        <v>12</v>
      </c>
      <c r="T32" s="51">
        <v>45</v>
      </c>
      <c r="U32" s="51">
        <v>27</v>
      </c>
      <c r="V32" s="51">
        <f t="shared" si="2"/>
        <v>66</v>
      </c>
      <c r="W32" s="51">
        <v>2</v>
      </c>
      <c r="X32" s="51" t="str">
        <f>LOOKUP(V32,{0,40,45,50,55,60,65,70,75,80,100},{"F","C-","C","C+","B-","B","B+","A-","A","A+","Invalid Entry"})</f>
        <v>B+</v>
      </c>
      <c r="Y32" s="51">
        <f>LOOKUP(V32,{0,40,45,50,55,60,65,70,75,80,100},{0,2,2.25,2.5,2.75,3,3.25,3.5,3.75,4,"Invalid Entry"})</f>
        <v>3.25</v>
      </c>
      <c r="Z32" s="42"/>
      <c r="AA32" s="51">
        <v>11</v>
      </c>
      <c r="AB32" s="51">
        <v>54</v>
      </c>
      <c r="AC32" s="51">
        <v>27</v>
      </c>
      <c r="AD32" s="51">
        <f t="shared" si="3"/>
        <v>74</v>
      </c>
      <c r="AE32" s="51">
        <v>4</v>
      </c>
      <c r="AF32" s="51" t="str">
        <f>LOOKUP(AD32,{0,40,45,50,55,60,65,70,75,80,100},{"F","C-","C","C+","B-","B","B+","A-","A","A+","Invalid Entry"})</f>
        <v>A-</v>
      </c>
      <c r="AG32" s="51">
        <f>LOOKUP(AD32,{0,40,45,50,55,60,65,70,75,80,100},{0,2,2.25,2.5,2.75,3,3.25,3.5,3.75,4,"Invalid Entry"})</f>
        <v>3.5</v>
      </c>
      <c r="AH32" s="42"/>
      <c r="AI32" s="51">
        <f t="shared" si="5"/>
        <v>11</v>
      </c>
      <c r="AJ32" s="51">
        <f t="shared" si="4"/>
        <v>3.61</v>
      </c>
      <c r="AK32" s="51" t="str">
        <f>LOOKUP(AJ32,{0,2,2.25,2.5,2.75,3,3.25,3.5,3.75,4},{"F","C-","C","C+","B-","B","B+","A-","A","A+"})</f>
        <v>A-</v>
      </c>
    </row>
    <row r="33" spans="3:10">
      <c r="C33" s="51"/>
      <c r="D33" s="51"/>
      <c r="E33" s="51"/>
      <c r="F33" s="51"/>
      <c r="G33" s="51"/>
      <c r="H33" s="51"/>
      <c r="I33" s="51"/>
      <c r="J33" s="42"/>
    </row>
  </sheetData>
  <mergeCells count="7">
    <mergeCell ref="AK1:AK2"/>
    <mergeCell ref="C1:I1"/>
    <mergeCell ref="K1:Q1"/>
    <mergeCell ref="S1:Y1"/>
    <mergeCell ref="AA1:AG1"/>
    <mergeCell ref="AI1:AI2"/>
    <mergeCell ref="AJ1:A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4"/>
  <sheetViews>
    <sheetView zoomScale="80" zoomScaleNormal="80" workbookViewId="0">
      <selection activeCell="L19" sqref="L19"/>
    </sheetView>
  </sheetViews>
  <sheetFormatPr defaultRowHeight="15"/>
  <cols>
    <col min="1" max="1" width="9" style="20"/>
    <col min="2" max="2" width="13.125" style="51" customWidth="1"/>
    <col min="3" max="3" width="12.875" style="20" customWidth="1"/>
    <col min="4" max="4" width="9" style="20"/>
    <col min="5" max="5" width="14" style="20" customWidth="1"/>
    <col min="6" max="6" width="9" style="20"/>
    <col min="7" max="7" width="12.75" style="20" customWidth="1"/>
    <col min="8" max="8" width="9" style="20"/>
    <col min="9" max="9" width="12.375" style="20" customWidth="1"/>
    <col min="10" max="10" width="9" style="20"/>
    <col min="239" max="239" width="13.125" customWidth="1"/>
    <col min="242" max="242" width="15.375" customWidth="1"/>
    <col min="244" max="244" width="12.875" customWidth="1"/>
    <col min="248" max="248" width="15.25" customWidth="1"/>
    <col min="250" max="250" width="14" customWidth="1"/>
    <col min="254" max="254" width="14.625" customWidth="1"/>
    <col min="256" max="256" width="12.75" customWidth="1"/>
    <col min="260" max="260" width="16.625" customWidth="1"/>
    <col min="262" max="262" width="12.375" customWidth="1"/>
    <col min="264" max="264" width="13.25" customWidth="1"/>
    <col min="265" max="265" width="11.75" customWidth="1"/>
    <col min="266" max="266" width="14.125" customWidth="1"/>
    <col min="495" max="495" width="13.125" customWidth="1"/>
    <col min="498" max="498" width="15.375" customWidth="1"/>
    <col min="500" max="500" width="12.875" customWidth="1"/>
    <col min="504" max="504" width="15.25" customWidth="1"/>
    <col min="506" max="506" width="14" customWidth="1"/>
    <col min="510" max="510" width="14.625" customWidth="1"/>
    <col min="512" max="512" width="12.75" customWidth="1"/>
    <col min="516" max="516" width="16.625" customWidth="1"/>
    <col min="518" max="518" width="12.375" customWidth="1"/>
    <col min="520" max="520" width="13.25" customWidth="1"/>
    <col min="521" max="521" width="11.75" customWidth="1"/>
    <col min="522" max="522" width="14.125" customWidth="1"/>
    <col min="751" max="751" width="13.125" customWidth="1"/>
    <col min="754" max="754" width="15.375" customWidth="1"/>
    <col min="756" max="756" width="12.875" customWidth="1"/>
    <col min="760" max="760" width="15.25" customWidth="1"/>
    <col min="762" max="762" width="14" customWidth="1"/>
    <col min="766" max="766" width="14.625" customWidth="1"/>
    <col min="768" max="768" width="12.75" customWidth="1"/>
    <col min="772" max="772" width="16.625" customWidth="1"/>
    <col min="774" max="774" width="12.375" customWidth="1"/>
    <col min="776" max="776" width="13.25" customWidth="1"/>
    <col min="777" max="777" width="11.75" customWidth="1"/>
    <col min="778" max="778" width="14.125" customWidth="1"/>
    <col min="1007" max="1007" width="13.125" customWidth="1"/>
    <col min="1010" max="1010" width="15.375" customWidth="1"/>
    <col min="1012" max="1012" width="12.875" customWidth="1"/>
    <col min="1016" max="1016" width="15.25" customWidth="1"/>
    <col min="1018" max="1018" width="14" customWidth="1"/>
    <col min="1022" max="1022" width="14.625" customWidth="1"/>
    <col min="1024" max="1024" width="12.75" customWidth="1"/>
    <col min="1028" max="1028" width="16.625" customWidth="1"/>
    <col min="1030" max="1030" width="12.375" customWidth="1"/>
    <col min="1032" max="1032" width="13.25" customWidth="1"/>
    <col min="1033" max="1033" width="11.75" customWidth="1"/>
    <col min="1034" max="1034" width="14.125" customWidth="1"/>
    <col min="1263" max="1263" width="13.125" customWidth="1"/>
    <col min="1266" max="1266" width="15.375" customWidth="1"/>
    <col min="1268" max="1268" width="12.875" customWidth="1"/>
    <col min="1272" max="1272" width="15.25" customWidth="1"/>
    <col min="1274" max="1274" width="14" customWidth="1"/>
    <col min="1278" max="1278" width="14.625" customWidth="1"/>
    <col min="1280" max="1280" width="12.75" customWidth="1"/>
    <col min="1284" max="1284" width="16.625" customWidth="1"/>
    <col min="1286" max="1286" width="12.375" customWidth="1"/>
    <col min="1288" max="1288" width="13.25" customWidth="1"/>
    <col min="1289" max="1289" width="11.75" customWidth="1"/>
    <col min="1290" max="1290" width="14.125" customWidth="1"/>
    <col min="1519" max="1519" width="13.125" customWidth="1"/>
    <col min="1522" max="1522" width="15.375" customWidth="1"/>
    <col min="1524" max="1524" width="12.875" customWidth="1"/>
    <col min="1528" max="1528" width="15.25" customWidth="1"/>
    <col min="1530" max="1530" width="14" customWidth="1"/>
    <col min="1534" max="1534" width="14.625" customWidth="1"/>
    <col min="1536" max="1536" width="12.75" customWidth="1"/>
    <col min="1540" max="1540" width="16.625" customWidth="1"/>
    <col min="1542" max="1542" width="12.375" customWidth="1"/>
    <col min="1544" max="1544" width="13.25" customWidth="1"/>
    <col min="1545" max="1545" width="11.75" customWidth="1"/>
    <col min="1546" max="1546" width="14.125" customWidth="1"/>
    <col min="1775" max="1775" width="13.125" customWidth="1"/>
    <col min="1778" max="1778" width="15.375" customWidth="1"/>
    <col min="1780" max="1780" width="12.875" customWidth="1"/>
    <col min="1784" max="1784" width="15.25" customWidth="1"/>
    <col min="1786" max="1786" width="14" customWidth="1"/>
    <col min="1790" max="1790" width="14.625" customWidth="1"/>
    <col min="1792" max="1792" width="12.75" customWidth="1"/>
    <col min="1796" max="1796" width="16.625" customWidth="1"/>
    <col min="1798" max="1798" width="12.375" customWidth="1"/>
    <col min="1800" max="1800" width="13.25" customWidth="1"/>
    <col min="1801" max="1801" width="11.75" customWidth="1"/>
    <col min="1802" max="1802" width="14.125" customWidth="1"/>
    <col min="2031" max="2031" width="13.125" customWidth="1"/>
    <col min="2034" max="2034" width="15.375" customWidth="1"/>
    <col min="2036" max="2036" width="12.875" customWidth="1"/>
    <col min="2040" max="2040" width="15.25" customWidth="1"/>
    <col min="2042" max="2042" width="14" customWidth="1"/>
    <col min="2046" max="2046" width="14.625" customWidth="1"/>
    <col min="2048" max="2048" width="12.75" customWidth="1"/>
    <col min="2052" max="2052" width="16.625" customWidth="1"/>
    <col min="2054" max="2054" width="12.375" customWidth="1"/>
    <col min="2056" max="2056" width="13.25" customWidth="1"/>
    <col min="2057" max="2057" width="11.75" customWidth="1"/>
    <col min="2058" max="2058" width="14.125" customWidth="1"/>
    <col min="2287" max="2287" width="13.125" customWidth="1"/>
    <col min="2290" max="2290" width="15.375" customWidth="1"/>
    <col min="2292" max="2292" width="12.875" customWidth="1"/>
    <col min="2296" max="2296" width="15.25" customWidth="1"/>
    <col min="2298" max="2298" width="14" customWidth="1"/>
    <col min="2302" max="2302" width="14.625" customWidth="1"/>
    <col min="2304" max="2304" width="12.75" customWidth="1"/>
    <col min="2308" max="2308" width="16.625" customWidth="1"/>
    <col min="2310" max="2310" width="12.375" customWidth="1"/>
    <col min="2312" max="2312" width="13.25" customWidth="1"/>
    <col min="2313" max="2313" width="11.75" customWidth="1"/>
    <col min="2314" max="2314" width="14.125" customWidth="1"/>
    <col min="2543" max="2543" width="13.125" customWidth="1"/>
    <col min="2546" max="2546" width="15.375" customWidth="1"/>
    <col min="2548" max="2548" width="12.875" customWidth="1"/>
    <col min="2552" max="2552" width="15.25" customWidth="1"/>
    <col min="2554" max="2554" width="14" customWidth="1"/>
    <col min="2558" max="2558" width="14.625" customWidth="1"/>
    <col min="2560" max="2560" width="12.75" customWidth="1"/>
    <col min="2564" max="2564" width="16.625" customWidth="1"/>
    <col min="2566" max="2566" width="12.375" customWidth="1"/>
    <col min="2568" max="2568" width="13.25" customWidth="1"/>
    <col min="2569" max="2569" width="11.75" customWidth="1"/>
    <col min="2570" max="2570" width="14.125" customWidth="1"/>
    <col min="2799" max="2799" width="13.125" customWidth="1"/>
    <col min="2802" max="2802" width="15.375" customWidth="1"/>
    <col min="2804" max="2804" width="12.875" customWidth="1"/>
    <col min="2808" max="2808" width="15.25" customWidth="1"/>
    <col min="2810" max="2810" width="14" customWidth="1"/>
    <col min="2814" max="2814" width="14.625" customWidth="1"/>
    <col min="2816" max="2816" width="12.75" customWidth="1"/>
    <col min="2820" max="2820" width="16.625" customWidth="1"/>
    <col min="2822" max="2822" width="12.375" customWidth="1"/>
    <col min="2824" max="2824" width="13.25" customWidth="1"/>
    <col min="2825" max="2825" width="11.75" customWidth="1"/>
    <col min="2826" max="2826" width="14.125" customWidth="1"/>
    <col min="3055" max="3055" width="13.125" customWidth="1"/>
    <col min="3058" max="3058" width="15.375" customWidth="1"/>
    <col min="3060" max="3060" width="12.875" customWidth="1"/>
    <col min="3064" max="3064" width="15.25" customWidth="1"/>
    <col min="3066" max="3066" width="14" customWidth="1"/>
    <col min="3070" max="3070" width="14.625" customWidth="1"/>
    <col min="3072" max="3072" width="12.75" customWidth="1"/>
    <col min="3076" max="3076" width="16.625" customWidth="1"/>
    <col min="3078" max="3078" width="12.375" customWidth="1"/>
    <col min="3080" max="3080" width="13.25" customWidth="1"/>
    <col min="3081" max="3081" width="11.75" customWidth="1"/>
    <col min="3082" max="3082" width="14.125" customWidth="1"/>
    <col min="3311" max="3311" width="13.125" customWidth="1"/>
    <col min="3314" max="3314" width="15.375" customWidth="1"/>
    <col min="3316" max="3316" width="12.875" customWidth="1"/>
    <col min="3320" max="3320" width="15.25" customWidth="1"/>
    <col min="3322" max="3322" width="14" customWidth="1"/>
    <col min="3326" max="3326" width="14.625" customWidth="1"/>
    <col min="3328" max="3328" width="12.75" customWidth="1"/>
    <col min="3332" max="3332" width="16.625" customWidth="1"/>
    <col min="3334" max="3334" width="12.375" customWidth="1"/>
    <col min="3336" max="3336" width="13.25" customWidth="1"/>
    <col min="3337" max="3337" width="11.75" customWidth="1"/>
    <col min="3338" max="3338" width="14.125" customWidth="1"/>
    <col min="3567" max="3567" width="13.125" customWidth="1"/>
    <col min="3570" max="3570" width="15.375" customWidth="1"/>
    <col min="3572" max="3572" width="12.875" customWidth="1"/>
    <col min="3576" max="3576" width="15.25" customWidth="1"/>
    <col min="3578" max="3578" width="14" customWidth="1"/>
    <col min="3582" max="3582" width="14.625" customWidth="1"/>
    <col min="3584" max="3584" width="12.75" customWidth="1"/>
    <col min="3588" max="3588" width="16.625" customWidth="1"/>
    <col min="3590" max="3590" width="12.375" customWidth="1"/>
    <col min="3592" max="3592" width="13.25" customWidth="1"/>
    <col min="3593" max="3593" width="11.75" customWidth="1"/>
    <col min="3594" max="3594" width="14.125" customWidth="1"/>
    <col min="3823" max="3823" width="13.125" customWidth="1"/>
    <col min="3826" max="3826" width="15.375" customWidth="1"/>
    <col min="3828" max="3828" width="12.875" customWidth="1"/>
    <col min="3832" max="3832" width="15.25" customWidth="1"/>
    <col min="3834" max="3834" width="14" customWidth="1"/>
    <col min="3838" max="3838" width="14.625" customWidth="1"/>
    <col min="3840" max="3840" width="12.75" customWidth="1"/>
    <col min="3844" max="3844" width="16.625" customWidth="1"/>
    <col min="3846" max="3846" width="12.375" customWidth="1"/>
    <col min="3848" max="3848" width="13.25" customWidth="1"/>
    <col min="3849" max="3849" width="11.75" customWidth="1"/>
    <col min="3850" max="3850" width="14.125" customWidth="1"/>
    <col min="4079" max="4079" width="13.125" customWidth="1"/>
    <col min="4082" max="4082" width="15.375" customWidth="1"/>
    <col min="4084" max="4084" width="12.875" customWidth="1"/>
    <col min="4088" max="4088" width="15.25" customWidth="1"/>
    <col min="4090" max="4090" width="14" customWidth="1"/>
    <col min="4094" max="4094" width="14.625" customWidth="1"/>
    <col min="4096" max="4096" width="12.75" customWidth="1"/>
    <col min="4100" max="4100" width="16.625" customWidth="1"/>
    <col min="4102" max="4102" width="12.375" customWidth="1"/>
    <col min="4104" max="4104" width="13.25" customWidth="1"/>
    <col min="4105" max="4105" width="11.75" customWidth="1"/>
    <col min="4106" max="4106" width="14.125" customWidth="1"/>
    <col min="4335" max="4335" width="13.125" customWidth="1"/>
    <col min="4338" max="4338" width="15.375" customWidth="1"/>
    <col min="4340" max="4340" width="12.875" customWidth="1"/>
    <col min="4344" max="4344" width="15.25" customWidth="1"/>
    <col min="4346" max="4346" width="14" customWidth="1"/>
    <col min="4350" max="4350" width="14.625" customWidth="1"/>
    <col min="4352" max="4352" width="12.75" customWidth="1"/>
    <col min="4356" max="4356" width="16.625" customWidth="1"/>
    <col min="4358" max="4358" width="12.375" customWidth="1"/>
    <col min="4360" max="4360" width="13.25" customWidth="1"/>
    <col min="4361" max="4361" width="11.75" customWidth="1"/>
    <col min="4362" max="4362" width="14.125" customWidth="1"/>
    <col min="4591" max="4591" width="13.125" customWidth="1"/>
    <col min="4594" max="4594" width="15.375" customWidth="1"/>
    <col min="4596" max="4596" width="12.875" customWidth="1"/>
    <col min="4600" max="4600" width="15.25" customWidth="1"/>
    <col min="4602" max="4602" width="14" customWidth="1"/>
    <col min="4606" max="4606" width="14.625" customWidth="1"/>
    <col min="4608" max="4608" width="12.75" customWidth="1"/>
    <col min="4612" max="4612" width="16.625" customWidth="1"/>
    <col min="4614" max="4614" width="12.375" customWidth="1"/>
    <col min="4616" max="4616" width="13.25" customWidth="1"/>
    <col min="4617" max="4617" width="11.75" customWidth="1"/>
    <col min="4618" max="4618" width="14.125" customWidth="1"/>
    <col min="4847" max="4847" width="13.125" customWidth="1"/>
    <col min="4850" max="4850" width="15.375" customWidth="1"/>
    <col min="4852" max="4852" width="12.875" customWidth="1"/>
    <col min="4856" max="4856" width="15.25" customWidth="1"/>
    <col min="4858" max="4858" width="14" customWidth="1"/>
    <col min="4862" max="4862" width="14.625" customWidth="1"/>
    <col min="4864" max="4864" width="12.75" customWidth="1"/>
    <col min="4868" max="4868" width="16.625" customWidth="1"/>
    <col min="4870" max="4870" width="12.375" customWidth="1"/>
    <col min="4872" max="4872" width="13.25" customWidth="1"/>
    <col min="4873" max="4873" width="11.75" customWidth="1"/>
    <col min="4874" max="4874" width="14.125" customWidth="1"/>
    <col min="5103" max="5103" width="13.125" customWidth="1"/>
    <col min="5106" max="5106" width="15.375" customWidth="1"/>
    <col min="5108" max="5108" width="12.875" customWidth="1"/>
    <col min="5112" max="5112" width="15.25" customWidth="1"/>
    <col min="5114" max="5114" width="14" customWidth="1"/>
    <col min="5118" max="5118" width="14.625" customWidth="1"/>
    <col min="5120" max="5120" width="12.75" customWidth="1"/>
    <col min="5124" max="5124" width="16.625" customWidth="1"/>
    <col min="5126" max="5126" width="12.375" customWidth="1"/>
    <col min="5128" max="5128" width="13.25" customWidth="1"/>
    <col min="5129" max="5129" width="11.75" customWidth="1"/>
    <col min="5130" max="5130" width="14.125" customWidth="1"/>
    <col min="5359" max="5359" width="13.125" customWidth="1"/>
    <col min="5362" max="5362" width="15.375" customWidth="1"/>
    <col min="5364" max="5364" width="12.875" customWidth="1"/>
    <col min="5368" max="5368" width="15.25" customWidth="1"/>
    <col min="5370" max="5370" width="14" customWidth="1"/>
    <col min="5374" max="5374" width="14.625" customWidth="1"/>
    <col min="5376" max="5376" width="12.75" customWidth="1"/>
    <col min="5380" max="5380" width="16.625" customWidth="1"/>
    <col min="5382" max="5382" width="12.375" customWidth="1"/>
    <col min="5384" max="5384" width="13.25" customWidth="1"/>
    <col min="5385" max="5385" width="11.75" customWidth="1"/>
    <col min="5386" max="5386" width="14.125" customWidth="1"/>
    <col min="5615" max="5615" width="13.125" customWidth="1"/>
    <col min="5618" max="5618" width="15.375" customWidth="1"/>
    <col min="5620" max="5620" width="12.875" customWidth="1"/>
    <col min="5624" max="5624" width="15.25" customWidth="1"/>
    <col min="5626" max="5626" width="14" customWidth="1"/>
    <col min="5630" max="5630" width="14.625" customWidth="1"/>
    <col min="5632" max="5632" width="12.75" customWidth="1"/>
    <col min="5636" max="5636" width="16.625" customWidth="1"/>
    <col min="5638" max="5638" width="12.375" customWidth="1"/>
    <col min="5640" max="5640" width="13.25" customWidth="1"/>
    <col min="5641" max="5641" width="11.75" customWidth="1"/>
    <col min="5642" max="5642" width="14.125" customWidth="1"/>
    <col min="5871" max="5871" width="13.125" customWidth="1"/>
    <col min="5874" max="5874" width="15.375" customWidth="1"/>
    <col min="5876" max="5876" width="12.875" customWidth="1"/>
    <col min="5880" max="5880" width="15.25" customWidth="1"/>
    <col min="5882" max="5882" width="14" customWidth="1"/>
    <col min="5886" max="5886" width="14.625" customWidth="1"/>
    <col min="5888" max="5888" width="12.75" customWidth="1"/>
    <col min="5892" max="5892" width="16.625" customWidth="1"/>
    <col min="5894" max="5894" width="12.375" customWidth="1"/>
    <col min="5896" max="5896" width="13.25" customWidth="1"/>
    <col min="5897" max="5897" width="11.75" customWidth="1"/>
    <col min="5898" max="5898" width="14.125" customWidth="1"/>
    <col min="6127" max="6127" width="13.125" customWidth="1"/>
    <col min="6130" max="6130" width="15.375" customWidth="1"/>
    <col min="6132" max="6132" width="12.875" customWidth="1"/>
    <col min="6136" max="6136" width="15.25" customWidth="1"/>
    <col min="6138" max="6138" width="14" customWidth="1"/>
    <col min="6142" max="6142" width="14.625" customWidth="1"/>
    <col min="6144" max="6144" width="12.75" customWidth="1"/>
    <col min="6148" max="6148" width="16.625" customWidth="1"/>
    <col min="6150" max="6150" width="12.375" customWidth="1"/>
    <col min="6152" max="6152" width="13.25" customWidth="1"/>
    <col min="6153" max="6153" width="11.75" customWidth="1"/>
    <col min="6154" max="6154" width="14.125" customWidth="1"/>
    <col min="6383" max="6383" width="13.125" customWidth="1"/>
    <col min="6386" max="6386" width="15.375" customWidth="1"/>
    <col min="6388" max="6388" width="12.875" customWidth="1"/>
    <col min="6392" max="6392" width="15.25" customWidth="1"/>
    <col min="6394" max="6394" width="14" customWidth="1"/>
    <col min="6398" max="6398" width="14.625" customWidth="1"/>
    <col min="6400" max="6400" width="12.75" customWidth="1"/>
    <col min="6404" max="6404" width="16.625" customWidth="1"/>
    <col min="6406" max="6406" width="12.375" customWidth="1"/>
    <col min="6408" max="6408" width="13.25" customWidth="1"/>
    <col min="6409" max="6409" width="11.75" customWidth="1"/>
    <col min="6410" max="6410" width="14.125" customWidth="1"/>
    <col min="6639" max="6639" width="13.125" customWidth="1"/>
    <col min="6642" max="6642" width="15.375" customWidth="1"/>
    <col min="6644" max="6644" width="12.875" customWidth="1"/>
    <col min="6648" max="6648" width="15.25" customWidth="1"/>
    <col min="6650" max="6650" width="14" customWidth="1"/>
    <col min="6654" max="6654" width="14.625" customWidth="1"/>
    <col min="6656" max="6656" width="12.75" customWidth="1"/>
    <col min="6660" max="6660" width="16.625" customWidth="1"/>
    <col min="6662" max="6662" width="12.375" customWidth="1"/>
    <col min="6664" max="6664" width="13.25" customWidth="1"/>
    <col min="6665" max="6665" width="11.75" customWidth="1"/>
    <col min="6666" max="6666" width="14.125" customWidth="1"/>
    <col min="6895" max="6895" width="13.125" customWidth="1"/>
    <col min="6898" max="6898" width="15.375" customWidth="1"/>
    <col min="6900" max="6900" width="12.875" customWidth="1"/>
    <col min="6904" max="6904" width="15.25" customWidth="1"/>
    <col min="6906" max="6906" width="14" customWidth="1"/>
    <col min="6910" max="6910" width="14.625" customWidth="1"/>
    <col min="6912" max="6912" width="12.75" customWidth="1"/>
    <col min="6916" max="6916" width="16.625" customWidth="1"/>
    <col min="6918" max="6918" width="12.375" customWidth="1"/>
    <col min="6920" max="6920" width="13.25" customWidth="1"/>
    <col min="6921" max="6921" width="11.75" customWidth="1"/>
    <col min="6922" max="6922" width="14.125" customWidth="1"/>
    <col min="7151" max="7151" width="13.125" customWidth="1"/>
    <col min="7154" max="7154" width="15.375" customWidth="1"/>
    <col min="7156" max="7156" width="12.875" customWidth="1"/>
    <col min="7160" max="7160" width="15.25" customWidth="1"/>
    <col min="7162" max="7162" width="14" customWidth="1"/>
    <col min="7166" max="7166" width="14.625" customWidth="1"/>
    <col min="7168" max="7168" width="12.75" customWidth="1"/>
    <col min="7172" max="7172" width="16.625" customWidth="1"/>
    <col min="7174" max="7174" width="12.375" customWidth="1"/>
    <col min="7176" max="7176" width="13.25" customWidth="1"/>
    <col min="7177" max="7177" width="11.75" customWidth="1"/>
    <col min="7178" max="7178" width="14.125" customWidth="1"/>
    <col min="7407" max="7407" width="13.125" customWidth="1"/>
    <col min="7410" max="7410" width="15.375" customWidth="1"/>
    <col min="7412" max="7412" width="12.875" customWidth="1"/>
    <col min="7416" max="7416" width="15.25" customWidth="1"/>
    <col min="7418" max="7418" width="14" customWidth="1"/>
    <col min="7422" max="7422" width="14.625" customWidth="1"/>
    <col min="7424" max="7424" width="12.75" customWidth="1"/>
    <col min="7428" max="7428" width="16.625" customWidth="1"/>
    <col min="7430" max="7430" width="12.375" customWidth="1"/>
    <col min="7432" max="7432" width="13.25" customWidth="1"/>
    <col min="7433" max="7433" width="11.75" customWidth="1"/>
    <col min="7434" max="7434" width="14.125" customWidth="1"/>
    <col min="7663" max="7663" width="13.125" customWidth="1"/>
    <col min="7666" max="7666" width="15.375" customWidth="1"/>
    <col min="7668" max="7668" width="12.875" customWidth="1"/>
    <col min="7672" max="7672" width="15.25" customWidth="1"/>
    <col min="7674" max="7674" width="14" customWidth="1"/>
    <col min="7678" max="7678" width="14.625" customWidth="1"/>
    <col min="7680" max="7680" width="12.75" customWidth="1"/>
    <col min="7684" max="7684" width="16.625" customWidth="1"/>
    <col min="7686" max="7686" width="12.375" customWidth="1"/>
    <col min="7688" max="7688" width="13.25" customWidth="1"/>
    <col min="7689" max="7689" width="11.75" customWidth="1"/>
    <col min="7690" max="7690" width="14.125" customWidth="1"/>
    <col min="7919" max="7919" width="13.125" customWidth="1"/>
    <col min="7922" max="7922" width="15.375" customWidth="1"/>
    <col min="7924" max="7924" width="12.875" customWidth="1"/>
    <col min="7928" max="7928" width="15.25" customWidth="1"/>
    <col min="7930" max="7930" width="14" customWidth="1"/>
    <col min="7934" max="7934" width="14.625" customWidth="1"/>
    <col min="7936" max="7936" width="12.75" customWidth="1"/>
    <col min="7940" max="7940" width="16.625" customWidth="1"/>
    <col min="7942" max="7942" width="12.375" customWidth="1"/>
    <col min="7944" max="7944" width="13.25" customWidth="1"/>
    <col min="7945" max="7945" width="11.75" customWidth="1"/>
    <col min="7946" max="7946" width="14.125" customWidth="1"/>
    <col min="8175" max="8175" width="13.125" customWidth="1"/>
    <col min="8178" max="8178" width="15.375" customWidth="1"/>
    <col min="8180" max="8180" width="12.875" customWidth="1"/>
    <col min="8184" max="8184" width="15.25" customWidth="1"/>
    <col min="8186" max="8186" width="14" customWidth="1"/>
    <col min="8190" max="8190" width="14.625" customWidth="1"/>
    <col min="8192" max="8192" width="12.75" customWidth="1"/>
    <col min="8196" max="8196" width="16.625" customWidth="1"/>
    <col min="8198" max="8198" width="12.375" customWidth="1"/>
    <col min="8200" max="8200" width="13.25" customWidth="1"/>
    <col min="8201" max="8201" width="11.75" customWidth="1"/>
    <col min="8202" max="8202" width="14.125" customWidth="1"/>
    <col min="8431" max="8431" width="13.125" customWidth="1"/>
    <col min="8434" max="8434" width="15.375" customWidth="1"/>
    <col min="8436" max="8436" width="12.875" customWidth="1"/>
    <col min="8440" max="8440" width="15.25" customWidth="1"/>
    <col min="8442" max="8442" width="14" customWidth="1"/>
    <col min="8446" max="8446" width="14.625" customWidth="1"/>
    <col min="8448" max="8448" width="12.75" customWidth="1"/>
    <col min="8452" max="8452" width="16.625" customWidth="1"/>
    <col min="8454" max="8454" width="12.375" customWidth="1"/>
    <col min="8456" max="8456" width="13.25" customWidth="1"/>
    <col min="8457" max="8457" width="11.75" customWidth="1"/>
    <col min="8458" max="8458" width="14.125" customWidth="1"/>
    <col min="8687" max="8687" width="13.125" customWidth="1"/>
    <col min="8690" max="8690" width="15.375" customWidth="1"/>
    <col min="8692" max="8692" width="12.875" customWidth="1"/>
    <col min="8696" max="8696" width="15.25" customWidth="1"/>
    <col min="8698" max="8698" width="14" customWidth="1"/>
    <col min="8702" max="8702" width="14.625" customWidth="1"/>
    <col min="8704" max="8704" width="12.75" customWidth="1"/>
    <col min="8708" max="8708" width="16.625" customWidth="1"/>
    <col min="8710" max="8710" width="12.375" customWidth="1"/>
    <col min="8712" max="8712" width="13.25" customWidth="1"/>
    <col min="8713" max="8713" width="11.75" customWidth="1"/>
    <col min="8714" max="8714" width="14.125" customWidth="1"/>
    <col min="8943" max="8943" width="13.125" customWidth="1"/>
    <col min="8946" max="8946" width="15.375" customWidth="1"/>
    <col min="8948" max="8948" width="12.875" customWidth="1"/>
    <col min="8952" max="8952" width="15.25" customWidth="1"/>
    <col min="8954" max="8954" width="14" customWidth="1"/>
    <col min="8958" max="8958" width="14.625" customWidth="1"/>
    <col min="8960" max="8960" width="12.75" customWidth="1"/>
    <col min="8964" max="8964" width="16.625" customWidth="1"/>
    <col min="8966" max="8966" width="12.375" customWidth="1"/>
    <col min="8968" max="8968" width="13.25" customWidth="1"/>
    <col min="8969" max="8969" width="11.75" customWidth="1"/>
    <col min="8970" max="8970" width="14.125" customWidth="1"/>
    <col min="9199" max="9199" width="13.125" customWidth="1"/>
    <col min="9202" max="9202" width="15.375" customWidth="1"/>
    <col min="9204" max="9204" width="12.875" customWidth="1"/>
    <col min="9208" max="9208" width="15.25" customWidth="1"/>
    <col min="9210" max="9210" width="14" customWidth="1"/>
    <col min="9214" max="9214" width="14.625" customWidth="1"/>
    <col min="9216" max="9216" width="12.75" customWidth="1"/>
    <col min="9220" max="9220" width="16.625" customWidth="1"/>
    <col min="9222" max="9222" width="12.375" customWidth="1"/>
    <col min="9224" max="9224" width="13.25" customWidth="1"/>
    <col min="9225" max="9225" width="11.75" customWidth="1"/>
    <col min="9226" max="9226" width="14.125" customWidth="1"/>
    <col min="9455" max="9455" width="13.125" customWidth="1"/>
    <col min="9458" max="9458" width="15.375" customWidth="1"/>
    <col min="9460" max="9460" width="12.875" customWidth="1"/>
    <col min="9464" max="9464" width="15.25" customWidth="1"/>
    <col min="9466" max="9466" width="14" customWidth="1"/>
    <col min="9470" max="9470" width="14.625" customWidth="1"/>
    <col min="9472" max="9472" width="12.75" customWidth="1"/>
    <col min="9476" max="9476" width="16.625" customWidth="1"/>
    <col min="9478" max="9478" width="12.375" customWidth="1"/>
    <col min="9480" max="9480" width="13.25" customWidth="1"/>
    <col min="9481" max="9481" width="11.75" customWidth="1"/>
    <col min="9482" max="9482" width="14.125" customWidth="1"/>
    <col min="9711" max="9711" width="13.125" customWidth="1"/>
    <col min="9714" max="9714" width="15.375" customWidth="1"/>
    <col min="9716" max="9716" width="12.875" customWidth="1"/>
    <col min="9720" max="9720" width="15.25" customWidth="1"/>
    <col min="9722" max="9722" width="14" customWidth="1"/>
    <col min="9726" max="9726" width="14.625" customWidth="1"/>
    <col min="9728" max="9728" width="12.75" customWidth="1"/>
    <col min="9732" max="9732" width="16.625" customWidth="1"/>
    <col min="9734" max="9734" width="12.375" customWidth="1"/>
    <col min="9736" max="9736" width="13.25" customWidth="1"/>
    <col min="9737" max="9737" width="11.75" customWidth="1"/>
    <col min="9738" max="9738" width="14.125" customWidth="1"/>
    <col min="9967" max="9967" width="13.125" customWidth="1"/>
    <col min="9970" max="9970" width="15.375" customWidth="1"/>
    <col min="9972" max="9972" width="12.875" customWidth="1"/>
    <col min="9976" max="9976" width="15.25" customWidth="1"/>
    <col min="9978" max="9978" width="14" customWidth="1"/>
    <col min="9982" max="9982" width="14.625" customWidth="1"/>
    <col min="9984" max="9984" width="12.75" customWidth="1"/>
    <col min="9988" max="9988" width="16.625" customWidth="1"/>
    <col min="9990" max="9990" width="12.375" customWidth="1"/>
    <col min="9992" max="9992" width="13.25" customWidth="1"/>
    <col min="9993" max="9993" width="11.75" customWidth="1"/>
    <col min="9994" max="9994" width="14.125" customWidth="1"/>
    <col min="10223" max="10223" width="13.125" customWidth="1"/>
    <col min="10226" max="10226" width="15.375" customWidth="1"/>
    <col min="10228" max="10228" width="12.875" customWidth="1"/>
    <col min="10232" max="10232" width="15.25" customWidth="1"/>
    <col min="10234" max="10234" width="14" customWidth="1"/>
    <col min="10238" max="10238" width="14.625" customWidth="1"/>
    <col min="10240" max="10240" width="12.75" customWidth="1"/>
    <col min="10244" max="10244" width="16.625" customWidth="1"/>
    <col min="10246" max="10246" width="12.375" customWidth="1"/>
    <col min="10248" max="10248" width="13.25" customWidth="1"/>
    <col min="10249" max="10249" width="11.75" customWidth="1"/>
    <col min="10250" max="10250" width="14.125" customWidth="1"/>
    <col min="10479" max="10479" width="13.125" customWidth="1"/>
    <col min="10482" max="10482" width="15.375" customWidth="1"/>
    <col min="10484" max="10484" width="12.875" customWidth="1"/>
    <col min="10488" max="10488" width="15.25" customWidth="1"/>
    <col min="10490" max="10490" width="14" customWidth="1"/>
    <col min="10494" max="10494" width="14.625" customWidth="1"/>
    <col min="10496" max="10496" width="12.75" customWidth="1"/>
    <col min="10500" max="10500" width="16.625" customWidth="1"/>
    <col min="10502" max="10502" width="12.375" customWidth="1"/>
    <col min="10504" max="10504" width="13.25" customWidth="1"/>
    <col min="10505" max="10505" width="11.75" customWidth="1"/>
    <col min="10506" max="10506" width="14.125" customWidth="1"/>
    <col min="10735" max="10735" width="13.125" customWidth="1"/>
    <col min="10738" max="10738" width="15.375" customWidth="1"/>
    <col min="10740" max="10740" width="12.875" customWidth="1"/>
    <col min="10744" max="10744" width="15.25" customWidth="1"/>
    <col min="10746" max="10746" width="14" customWidth="1"/>
    <col min="10750" max="10750" width="14.625" customWidth="1"/>
    <col min="10752" max="10752" width="12.75" customWidth="1"/>
    <col min="10756" max="10756" width="16.625" customWidth="1"/>
    <col min="10758" max="10758" width="12.375" customWidth="1"/>
    <col min="10760" max="10760" width="13.25" customWidth="1"/>
    <col min="10761" max="10761" width="11.75" customWidth="1"/>
    <col min="10762" max="10762" width="14.125" customWidth="1"/>
    <col min="10991" max="10991" width="13.125" customWidth="1"/>
    <col min="10994" max="10994" width="15.375" customWidth="1"/>
    <col min="10996" max="10996" width="12.875" customWidth="1"/>
    <col min="11000" max="11000" width="15.25" customWidth="1"/>
    <col min="11002" max="11002" width="14" customWidth="1"/>
    <col min="11006" max="11006" width="14.625" customWidth="1"/>
    <col min="11008" max="11008" width="12.75" customWidth="1"/>
    <col min="11012" max="11012" width="16.625" customWidth="1"/>
    <col min="11014" max="11014" width="12.375" customWidth="1"/>
    <col min="11016" max="11016" width="13.25" customWidth="1"/>
    <col min="11017" max="11017" width="11.75" customWidth="1"/>
    <col min="11018" max="11018" width="14.125" customWidth="1"/>
    <col min="11247" max="11247" width="13.125" customWidth="1"/>
    <col min="11250" max="11250" width="15.375" customWidth="1"/>
    <col min="11252" max="11252" width="12.875" customWidth="1"/>
    <col min="11256" max="11256" width="15.25" customWidth="1"/>
    <col min="11258" max="11258" width="14" customWidth="1"/>
    <col min="11262" max="11262" width="14.625" customWidth="1"/>
    <col min="11264" max="11264" width="12.75" customWidth="1"/>
    <col min="11268" max="11268" width="16.625" customWidth="1"/>
    <col min="11270" max="11270" width="12.375" customWidth="1"/>
    <col min="11272" max="11272" width="13.25" customWidth="1"/>
    <col min="11273" max="11273" width="11.75" customWidth="1"/>
    <col min="11274" max="11274" width="14.125" customWidth="1"/>
    <col min="11503" max="11503" width="13.125" customWidth="1"/>
    <col min="11506" max="11506" width="15.375" customWidth="1"/>
    <col min="11508" max="11508" width="12.875" customWidth="1"/>
    <col min="11512" max="11512" width="15.25" customWidth="1"/>
    <col min="11514" max="11514" width="14" customWidth="1"/>
    <col min="11518" max="11518" width="14.625" customWidth="1"/>
    <col min="11520" max="11520" width="12.75" customWidth="1"/>
    <col min="11524" max="11524" width="16.625" customWidth="1"/>
    <col min="11526" max="11526" width="12.375" customWidth="1"/>
    <col min="11528" max="11528" width="13.25" customWidth="1"/>
    <col min="11529" max="11529" width="11.75" customWidth="1"/>
    <col min="11530" max="11530" width="14.125" customWidth="1"/>
    <col min="11759" max="11759" width="13.125" customWidth="1"/>
    <col min="11762" max="11762" width="15.375" customWidth="1"/>
    <col min="11764" max="11764" width="12.875" customWidth="1"/>
    <col min="11768" max="11768" width="15.25" customWidth="1"/>
    <col min="11770" max="11770" width="14" customWidth="1"/>
    <col min="11774" max="11774" width="14.625" customWidth="1"/>
    <col min="11776" max="11776" width="12.75" customWidth="1"/>
    <col min="11780" max="11780" width="16.625" customWidth="1"/>
    <col min="11782" max="11782" width="12.375" customWidth="1"/>
    <col min="11784" max="11784" width="13.25" customWidth="1"/>
    <col min="11785" max="11785" width="11.75" customWidth="1"/>
    <col min="11786" max="11786" width="14.125" customWidth="1"/>
    <col min="12015" max="12015" width="13.125" customWidth="1"/>
    <col min="12018" max="12018" width="15.375" customWidth="1"/>
    <col min="12020" max="12020" width="12.875" customWidth="1"/>
    <col min="12024" max="12024" width="15.25" customWidth="1"/>
    <col min="12026" max="12026" width="14" customWidth="1"/>
    <col min="12030" max="12030" width="14.625" customWidth="1"/>
    <col min="12032" max="12032" width="12.75" customWidth="1"/>
    <col min="12036" max="12036" width="16.625" customWidth="1"/>
    <col min="12038" max="12038" width="12.375" customWidth="1"/>
    <col min="12040" max="12040" width="13.25" customWidth="1"/>
    <col min="12041" max="12041" width="11.75" customWidth="1"/>
    <col min="12042" max="12042" width="14.125" customWidth="1"/>
    <col min="12271" max="12271" width="13.125" customWidth="1"/>
    <col min="12274" max="12274" width="15.375" customWidth="1"/>
    <col min="12276" max="12276" width="12.875" customWidth="1"/>
    <col min="12280" max="12280" width="15.25" customWidth="1"/>
    <col min="12282" max="12282" width="14" customWidth="1"/>
    <col min="12286" max="12286" width="14.625" customWidth="1"/>
    <col min="12288" max="12288" width="12.75" customWidth="1"/>
    <col min="12292" max="12292" width="16.625" customWidth="1"/>
    <col min="12294" max="12294" width="12.375" customWidth="1"/>
    <col min="12296" max="12296" width="13.25" customWidth="1"/>
    <col min="12297" max="12297" width="11.75" customWidth="1"/>
    <col min="12298" max="12298" width="14.125" customWidth="1"/>
    <col min="12527" max="12527" width="13.125" customWidth="1"/>
    <col min="12530" max="12530" width="15.375" customWidth="1"/>
    <col min="12532" max="12532" width="12.875" customWidth="1"/>
    <col min="12536" max="12536" width="15.25" customWidth="1"/>
    <col min="12538" max="12538" width="14" customWidth="1"/>
    <col min="12542" max="12542" width="14.625" customWidth="1"/>
    <col min="12544" max="12544" width="12.75" customWidth="1"/>
    <col min="12548" max="12548" width="16.625" customWidth="1"/>
    <col min="12550" max="12550" width="12.375" customWidth="1"/>
    <col min="12552" max="12552" width="13.25" customWidth="1"/>
    <col min="12553" max="12553" width="11.75" customWidth="1"/>
    <col min="12554" max="12554" width="14.125" customWidth="1"/>
    <col min="12783" max="12783" width="13.125" customWidth="1"/>
    <col min="12786" max="12786" width="15.375" customWidth="1"/>
    <col min="12788" max="12788" width="12.875" customWidth="1"/>
    <col min="12792" max="12792" width="15.25" customWidth="1"/>
    <col min="12794" max="12794" width="14" customWidth="1"/>
    <col min="12798" max="12798" width="14.625" customWidth="1"/>
    <col min="12800" max="12800" width="12.75" customWidth="1"/>
    <col min="12804" max="12804" width="16.625" customWidth="1"/>
    <col min="12806" max="12806" width="12.375" customWidth="1"/>
    <col min="12808" max="12808" width="13.25" customWidth="1"/>
    <col min="12809" max="12809" width="11.75" customWidth="1"/>
    <col min="12810" max="12810" width="14.125" customWidth="1"/>
    <col min="13039" max="13039" width="13.125" customWidth="1"/>
    <col min="13042" max="13042" width="15.375" customWidth="1"/>
    <col min="13044" max="13044" width="12.875" customWidth="1"/>
    <col min="13048" max="13048" width="15.25" customWidth="1"/>
    <col min="13050" max="13050" width="14" customWidth="1"/>
    <col min="13054" max="13054" width="14.625" customWidth="1"/>
    <col min="13056" max="13056" width="12.75" customWidth="1"/>
    <col min="13060" max="13060" width="16.625" customWidth="1"/>
    <col min="13062" max="13062" width="12.375" customWidth="1"/>
    <col min="13064" max="13064" width="13.25" customWidth="1"/>
    <col min="13065" max="13065" width="11.75" customWidth="1"/>
    <col min="13066" max="13066" width="14.125" customWidth="1"/>
    <col min="13295" max="13295" width="13.125" customWidth="1"/>
    <col min="13298" max="13298" width="15.375" customWidth="1"/>
    <col min="13300" max="13300" width="12.875" customWidth="1"/>
    <col min="13304" max="13304" width="15.25" customWidth="1"/>
    <col min="13306" max="13306" width="14" customWidth="1"/>
    <col min="13310" max="13310" width="14.625" customWidth="1"/>
    <col min="13312" max="13312" width="12.75" customWidth="1"/>
    <col min="13316" max="13316" width="16.625" customWidth="1"/>
    <col min="13318" max="13318" width="12.375" customWidth="1"/>
    <col min="13320" max="13320" width="13.25" customWidth="1"/>
    <col min="13321" max="13321" width="11.75" customWidth="1"/>
    <col min="13322" max="13322" width="14.125" customWidth="1"/>
    <col min="13551" max="13551" width="13.125" customWidth="1"/>
    <col min="13554" max="13554" width="15.375" customWidth="1"/>
    <col min="13556" max="13556" width="12.875" customWidth="1"/>
    <col min="13560" max="13560" width="15.25" customWidth="1"/>
    <col min="13562" max="13562" width="14" customWidth="1"/>
    <col min="13566" max="13566" width="14.625" customWidth="1"/>
    <col min="13568" max="13568" width="12.75" customWidth="1"/>
    <col min="13572" max="13572" width="16.625" customWidth="1"/>
    <col min="13574" max="13574" width="12.375" customWidth="1"/>
    <col min="13576" max="13576" width="13.25" customWidth="1"/>
    <col min="13577" max="13577" width="11.75" customWidth="1"/>
    <col min="13578" max="13578" width="14.125" customWidth="1"/>
    <col min="13807" max="13807" width="13.125" customWidth="1"/>
    <col min="13810" max="13810" width="15.375" customWidth="1"/>
    <col min="13812" max="13812" width="12.875" customWidth="1"/>
    <col min="13816" max="13816" width="15.25" customWidth="1"/>
    <col min="13818" max="13818" width="14" customWidth="1"/>
    <col min="13822" max="13822" width="14.625" customWidth="1"/>
    <col min="13824" max="13824" width="12.75" customWidth="1"/>
    <col min="13828" max="13828" width="16.625" customWidth="1"/>
    <col min="13830" max="13830" width="12.375" customWidth="1"/>
    <col min="13832" max="13832" width="13.25" customWidth="1"/>
    <col min="13833" max="13833" width="11.75" customWidth="1"/>
    <col min="13834" max="13834" width="14.125" customWidth="1"/>
    <col min="14063" max="14063" width="13.125" customWidth="1"/>
    <col min="14066" max="14066" width="15.375" customWidth="1"/>
    <col min="14068" max="14068" width="12.875" customWidth="1"/>
    <col min="14072" max="14072" width="15.25" customWidth="1"/>
    <col min="14074" max="14074" width="14" customWidth="1"/>
    <col min="14078" max="14078" width="14.625" customWidth="1"/>
    <col min="14080" max="14080" width="12.75" customWidth="1"/>
    <col min="14084" max="14084" width="16.625" customWidth="1"/>
    <col min="14086" max="14086" width="12.375" customWidth="1"/>
    <col min="14088" max="14088" width="13.25" customWidth="1"/>
    <col min="14089" max="14089" width="11.75" customWidth="1"/>
    <col min="14090" max="14090" width="14.125" customWidth="1"/>
    <col min="14319" max="14319" width="13.125" customWidth="1"/>
    <col min="14322" max="14322" width="15.375" customWidth="1"/>
    <col min="14324" max="14324" width="12.875" customWidth="1"/>
    <col min="14328" max="14328" width="15.25" customWidth="1"/>
    <col min="14330" max="14330" width="14" customWidth="1"/>
    <col min="14334" max="14334" width="14.625" customWidth="1"/>
    <col min="14336" max="14336" width="12.75" customWidth="1"/>
    <col min="14340" max="14340" width="16.625" customWidth="1"/>
    <col min="14342" max="14342" width="12.375" customWidth="1"/>
    <col min="14344" max="14344" width="13.25" customWidth="1"/>
    <col min="14345" max="14345" width="11.75" customWidth="1"/>
    <col min="14346" max="14346" width="14.125" customWidth="1"/>
    <col min="14575" max="14575" width="13.125" customWidth="1"/>
    <col min="14578" max="14578" width="15.375" customWidth="1"/>
    <col min="14580" max="14580" width="12.875" customWidth="1"/>
    <col min="14584" max="14584" width="15.25" customWidth="1"/>
    <col min="14586" max="14586" width="14" customWidth="1"/>
    <col min="14590" max="14590" width="14.625" customWidth="1"/>
    <col min="14592" max="14592" width="12.75" customWidth="1"/>
    <col min="14596" max="14596" width="16.625" customWidth="1"/>
    <col min="14598" max="14598" width="12.375" customWidth="1"/>
    <col min="14600" max="14600" width="13.25" customWidth="1"/>
    <col min="14601" max="14601" width="11.75" customWidth="1"/>
    <col min="14602" max="14602" width="14.125" customWidth="1"/>
    <col min="14831" max="14831" width="13.125" customWidth="1"/>
    <col min="14834" max="14834" width="15.375" customWidth="1"/>
    <col min="14836" max="14836" width="12.875" customWidth="1"/>
    <col min="14840" max="14840" width="15.25" customWidth="1"/>
    <col min="14842" max="14842" width="14" customWidth="1"/>
    <col min="14846" max="14846" width="14.625" customWidth="1"/>
    <col min="14848" max="14848" width="12.75" customWidth="1"/>
    <col min="14852" max="14852" width="16.625" customWidth="1"/>
    <col min="14854" max="14854" width="12.375" customWidth="1"/>
    <col min="14856" max="14856" width="13.25" customWidth="1"/>
    <col min="14857" max="14857" width="11.75" customWidth="1"/>
    <col min="14858" max="14858" width="14.125" customWidth="1"/>
    <col min="15087" max="15087" width="13.125" customWidth="1"/>
    <col min="15090" max="15090" width="15.375" customWidth="1"/>
    <col min="15092" max="15092" width="12.875" customWidth="1"/>
    <col min="15096" max="15096" width="15.25" customWidth="1"/>
    <col min="15098" max="15098" width="14" customWidth="1"/>
    <col min="15102" max="15102" width="14.625" customWidth="1"/>
    <col min="15104" max="15104" width="12.75" customWidth="1"/>
    <col min="15108" max="15108" width="16.625" customWidth="1"/>
    <col min="15110" max="15110" width="12.375" customWidth="1"/>
    <col min="15112" max="15112" width="13.25" customWidth="1"/>
    <col min="15113" max="15113" width="11.75" customWidth="1"/>
    <col min="15114" max="15114" width="14.125" customWidth="1"/>
    <col min="15343" max="15343" width="13.125" customWidth="1"/>
    <col min="15346" max="15346" width="15.375" customWidth="1"/>
    <col min="15348" max="15348" width="12.875" customWidth="1"/>
    <col min="15352" max="15352" width="15.25" customWidth="1"/>
    <col min="15354" max="15354" width="14" customWidth="1"/>
    <col min="15358" max="15358" width="14.625" customWidth="1"/>
    <col min="15360" max="15360" width="12.75" customWidth="1"/>
    <col min="15364" max="15364" width="16.625" customWidth="1"/>
    <col min="15366" max="15366" width="12.375" customWidth="1"/>
    <col min="15368" max="15368" width="13.25" customWidth="1"/>
    <col min="15369" max="15369" width="11.75" customWidth="1"/>
    <col min="15370" max="15370" width="14.125" customWidth="1"/>
    <col min="15599" max="15599" width="13.125" customWidth="1"/>
    <col min="15602" max="15602" width="15.375" customWidth="1"/>
    <col min="15604" max="15604" width="12.875" customWidth="1"/>
    <col min="15608" max="15608" width="15.25" customWidth="1"/>
    <col min="15610" max="15610" width="14" customWidth="1"/>
    <col min="15614" max="15614" width="14.625" customWidth="1"/>
    <col min="15616" max="15616" width="12.75" customWidth="1"/>
    <col min="15620" max="15620" width="16.625" customWidth="1"/>
    <col min="15622" max="15622" width="12.375" customWidth="1"/>
    <col min="15624" max="15624" width="13.25" customWidth="1"/>
    <col min="15625" max="15625" width="11.75" customWidth="1"/>
    <col min="15626" max="15626" width="14.125" customWidth="1"/>
    <col min="15855" max="15855" width="13.125" customWidth="1"/>
    <col min="15858" max="15858" width="15.375" customWidth="1"/>
    <col min="15860" max="15860" width="12.875" customWidth="1"/>
    <col min="15864" max="15864" width="15.25" customWidth="1"/>
    <col min="15866" max="15866" width="14" customWidth="1"/>
    <col min="15870" max="15870" width="14.625" customWidth="1"/>
    <col min="15872" max="15872" width="12.75" customWidth="1"/>
    <col min="15876" max="15876" width="16.625" customWidth="1"/>
    <col min="15878" max="15878" width="12.375" customWidth="1"/>
    <col min="15880" max="15880" width="13.25" customWidth="1"/>
    <col min="15881" max="15881" width="11.75" customWidth="1"/>
    <col min="15882" max="15882" width="14.125" customWidth="1"/>
    <col min="16111" max="16111" width="13.125" customWidth="1"/>
    <col min="16114" max="16114" width="15.375" customWidth="1"/>
    <col min="16116" max="16116" width="12.875" customWidth="1"/>
    <col min="16120" max="16120" width="15.25" customWidth="1"/>
    <col min="16122" max="16122" width="14" customWidth="1"/>
    <col min="16126" max="16126" width="14.625" customWidth="1"/>
    <col min="16128" max="16128" width="12.75" customWidth="1"/>
    <col min="16132" max="16132" width="16.625" customWidth="1"/>
    <col min="16134" max="16134" width="12.375" customWidth="1"/>
    <col min="16136" max="16136" width="13.25" customWidth="1"/>
    <col min="16137" max="16137" width="11.75" customWidth="1"/>
    <col min="16138" max="16138" width="14.125" customWidth="1"/>
  </cols>
  <sheetData>
    <row r="1" spans="1:10">
      <c r="B1" s="53" t="s">
        <v>93</v>
      </c>
      <c r="C1" s="76" t="str">
        <f>CourseList!B2</f>
        <v>ENG-111</v>
      </c>
      <c r="D1" s="76"/>
      <c r="E1" s="76" t="str">
        <f>CourseList!B3</f>
        <v>ENG-113</v>
      </c>
      <c r="F1" s="76"/>
      <c r="G1" s="76" t="str">
        <f>CourseList!B4</f>
        <v>ENG-115</v>
      </c>
      <c r="H1" s="76"/>
      <c r="I1" s="76" t="str">
        <f>CourseList!B5</f>
        <v>ENG-117</v>
      </c>
      <c r="J1" s="76"/>
    </row>
    <row r="2" spans="1:10">
      <c r="B2" s="53" t="s">
        <v>96</v>
      </c>
      <c r="C2" s="76">
        <f>CourseList!E2</f>
        <v>3</v>
      </c>
      <c r="D2" s="76"/>
      <c r="E2" s="76">
        <f>CourseList!E3</f>
        <v>4</v>
      </c>
      <c r="F2" s="76"/>
      <c r="G2" s="76">
        <f>CourseList!E4</f>
        <v>3</v>
      </c>
      <c r="H2" s="76"/>
      <c r="I2" s="76">
        <f>CourseList!E5</f>
        <v>2</v>
      </c>
      <c r="J2" s="76"/>
    </row>
    <row r="3" spans="1:10" ht="14.25">
      <c r="A3" s="50" t="s">
        <v>121</v>
      </c>
      <c r="B3" s="52" t="str" cm="1">
        <f t="array" ref="B3:B33">StudentList!B1:B31</f>
        <v>Student ID</v>
      </c>
      <c r="C3" s="50" t="s">
        <v>100</v>
      </c>
      <c r="D3" s="50" t="s">
        <v>105</v>
      </c>
      <c r="E3" s="50" t="s">
        <v>100</v>
      </c>
      <c r="F3" s="50" t="s">
        <v>105</v>
      </c>
      <c r="G3" s="50" t="s">
        <v>100</v>
      </c>
      <c r="H3" s="50" t="s">
        <v>105</v>
      </c>
      <c r="I3" s="50" t="s">
        <v>100</v>
      </c>
      <c r="J3" s="50" t="s">
        <v>105</v>
      </c>
    </row>
    <row r="4" spans="1:10">
      <c r="A4" s="51">
        <v>1</v>
      </c>
      <c r="B4" s="51">
        <v>2011236001</v>
      </c>
      <c r="C4" s="51" t="str">
        <f>'1st Semester'!H3</f>
        <v>A+</v>
      </c>
      <c r="D4" s="51">
        <f>'1st Semester'!I3</f>
        <v>4</v>
      </c>
      <c r="E4" s="51" t="str">
        <f>'1st Semester'!P3</f>
        <v>A+</v>
      </c>
      <c r="F4" s="51">
        <f>'1st Semester'!Q3</f>
        <v>4</v>
      </c>
      <c r="G4" s="51" t="str">
        <f>'1st Semester'!X3</f>
        <v>A+</v>
      </c>
      <c r="H4" s="51">
        <f>'1st Semester'!Y3</f>
        <v>4</v>
      </c>
      <c r="I4" s="51" t="str">
        <f>'1st Semester'!AF3</f>
        <v>A+</v>
      </c>
      <c r="J4" s="51">
        <f>'1st Semester'!AG3</f>
        <v>4</v>
      </c>
    </row>
    <row r="5" spans="1:10">
      <c r="A5" s="51">
        <v>2</v>
      </c>
      <c r="B5" s="51">
        <v>2011236002</v>
      </c>
      <c r="C5" s="51" t="str">
        <f>'1st Semester'!H4</f>
        <v>B</v>
      </c>
      <c r="D5" s="51">
        <f>'1st Semester'!I4</f>
        <v>3</v>
      </c>
      <c r="E5" s="51" t="str">
        <f>'1st Semester'!P4</f>
        <v>B+</v>
      </c>
      <c r="F5" s="51">
        <f>'1st Semester'!Q4</f>
        <v>3.25</v>
      </c>
      <c r="G5" s="51" t="str">
        <f>'1st Semester'!X4</f>
        <v>A-</v>
      </c>
      <c r="H5" s="51">
        <f>'1st Semester'!Y4</f>
        <v>3.5</v>
      </c>
      <c r="I5" s="51" t="str">
        <f>'1st Semester'!AF4</f>
        <v>A-</v>
      </c>
      <c r="J5" s="51">
        <f>'1st Semester'!AG4</f>
        <v>3.5</v>
      </c>
    </row>
    <row r="6" spans="1:10">
      <c r="A6" s="51">
        <v>3</v>
      </c>
      <c r="B6" s="51">
        <v>2011236003</v>
      </c>
      <c r="C6" s="51" t="str">
        <f>'1st Semester'!H5</f>
        <v>A+</v>
      </c>
      <c r="D6" s="51">
        <f>'1st Semester'!I5</f>
        <v>4</v>
      </c>
      <c r="E6" s="51" t="str">
        <f>'1st Semester'!P5</f>
        <v>A</v>
      </c>
      <c r="F6" s="51">
        <f>'1st Semester'!Q5</f>
        <v>3.75</v>
      </c>
      <c r="G6" s="51" t="str">
        <f>'1st Semester'!X5</f>
        <v>A+</v>
      </c>
      <c r="H6" s="51">
        <f>'1st Semester'!Y5</f>
        <v>4</v>
      </c>
      <c r="I6" s="51" t="str">
        <f>'1st Semester'!AF5</f>
        <v>A</v>
      </c>
      <c r="J6" s="51">
        <f>'1st Semester'!AG5</f>
        <v>3.75</v>
      </c>
    </row>
    <row r="7" spans="1:10">
      <c r="A7" s="51">
        <v>4</v>
      </c>
      <c r="B7" s="51">
        <v>2011236004</v>
      </c>
      <c r="C7" s="51" t="str">
        <f>'1st Semester'!H6</f>
        <v>A+</v>
      </c>
      <c r="D7" s="51">
        <f>'1st Semester'!I6</f>
        <v>4</v>
      </c>
      <c r="E7" s="51" t="str">
        <f>'1st Semester'!P6</f>
        <v>A</v>
      </c>
      <c r="F7" s="51">
        <f>'1st Semester'!Q6</f>
        <v>3.75</v>
      </c>
      <c r="G7" s="51" t="str">
        <f>'1st Semester'!X6</f>
        <v>A</v>
      </c>
      <c r="H7" s="51">
        <f>'1st Semester'!Y6</f>
        <v>3.75</v>
      </c>
      <c r="I7" s="51" t="str">
        <f>'1st Semester'!AF6</f>
        <v>A+</v>
      </c>
      <c r="J7" s="51">
        <f>'1st Semester'!AG6</f>
        <v>4</v>
      </c>
    </row>
    <row r="8" spans="1:10">
      <c r="A8" s="51">
        <v>5</v>
      </c>
      <c r="B8" s="51">
        <v>2011236005</v>
      </c>
      <c r="C8" s="51" t="str">
        <f>'1st Semester'!H7</f>
        <v>A+</v>
      </c>
      <c r="D8" s="51">
        <f>'1st Semester'!I7</f>
        <v>4</v>
      </c>
      <c r="E8" s="51" t="str">
        <f>'1st Semester'!P7</f>
        <v>A+</v>
      </c>
      <c r="F8" s="51">
        <f>'1st Semester'!Q7</f>
        <v>4</v>
      </c>
      <c r="G8" s="51" t="str">
        <f>'1st Semester'!X7</f>
        <v>A+</v>
      </c>
      <c r="H8" s="51">
        <f>'1st Semester'!Y7</f>
        <v>4</v>
      </c>
      <c r="I8" s="51" t="str">
        <f>'1st Semester'!AF7</f>
        <v>A-</v>
      </c>
      <c r="J8" s="51">
        <f>'1st Semester'!AG7</f>
        <v>3.5</v>
      </c>
    </row>
    <row r="9" spans="1:10">
      <c r="A9" s="51">
        <v>6</v>
      </c>
      <c r="B9" s="51">
        <v>2011236006</v>
      </c>
      <c r="C9" s="51" t="str">
        <f>'1st Semester'!H8</f>
        <v>A+</v>
      </c>
      <c r="D9" s="51">
        <f>'1st Semester'!I8</f>
        <v>4</v>
      </c>
      <c r="E9" s="51" t="str">
        <f>'1st Semester'!P8</f>
        <v>A+</v>
      </c>
      <c r="F9" s="51">
        <f>'1st Semester'!Q8</f>
        <v>4</v>
      </c>
      <c r="G9" s="51" t="str">
        <f>'1st Semester'!X8</f>
        <v>A+</v>
      </c>
      <c r="H9" s="51">
        <f>'1st Semester'!Y8</f>
        <v>4</v>
      </c>
      <c r="I9" s="51" t="str">
        <f>'1st Semester'!AF8</f>
        <v>A+</v>
      </c>
      <c r="J9" s="51">
        <f>'1st Semester'!AG8</f>
        <v>4</v>
      </c>
    </row>
    <row r="10" spans="1:10">
      <c r="A10" s="51">
        <v>7</v>
      </c>
      <c r="B10" s="51">
        <v>2011236007</v>
      </c>
      <c r="C10" s="51" t="str">
        <f>'1st Semester'!H9</f>
        <v>A-</v>
      </c>
      <c r="D10" s="51">
        <f>'1st Semester'!I9</f>
        <v>3.5</v>
      </c>
      <c r="E10" s="51" t="str">
        <f>'1st Semester'!P9</f>
        <v>A+</v>
      </c>
      <c r="F10" s="51">
        <f>'1st Semester'!Q9</f>
        <v>4</v>
      </c>
      <c r="G10" s="51" t="str">
        <f>'1st Semester'!X9</f>
        <v>A+</v>
      </c>
      <c r="H10" s="51">
        <f>'1st Semester'!Y9</f>
        <v>4</v>
      </c>
      <c r="I10" s="51" t="str">
        <f>'1st Semester'!AF9</f>
        <v>B+</v>
      </c>
      <c r="J10" s="51">
        <f>'1st Semester'!AG9</f>
        <v>3.25</v>
      </c>
    </row>
    <row r="11" spans="1:10">
      <c r="A11" s="51">
        <v>8</v>
      </c>
      <c r="B11" s="51">
        <v>2011236008</v>
      </c>
      <c r="C11" s="51" t="str">
        <f>'1st Semester'!H10</f>
        <v>A</v>
      </c>
      <c r="D11" s="51">
        <f>'1st Semester'!I10</f>
        <v>3.75</v>
      </c>
      <c r="E11" s="51" t="str">
        <f>'1st Semester'!P10</f>
        <v>A</v>
      </c>
      <c r="F11" s="51">
        <f>'1st Semester'!Q10</f>
        <v>3.75</v>
      </c>
      <c r="G11" s="51" t="str">
        <f>'1st Semester'!X10</f>
        <v>A</v>
      </c>
      <c r="H11" s="51">
        <f>'1st Semester'!Y10</f>
        <v>3.75</v>
      </c>
      <c r="I11" s="51" t="str">
        <f>'1st Semester'!AF10</f>
        <v>B+</v>
      </c>
      <c r="J11" s="51">
        <f>'1st Semester'!AG10</f>
        <v>3.25</v>
      </c>
    </row>
    <row r="12" spans="1:10">
      <c r="A12" s="51">
        <v>9</v>
      </c>
      <c r="B12" s="51">
        <v>2011236009</v>
      </c>
      <c r="C12" s="51" t="str">
        <f>'1st Semester'!H11</f>
        <v>A-</v>
      </c>
      <c r="D12" s="51">
        <f>'1st Semester'!I11</f>
        <v>3.5</v>
      </c>
      <c r="E12" s="51" t="str">
        <f>'1st Semester'!P11</f>
        <v>A</v>
      </c>
      <c r="F12" s="51">
        <f>'1st Semester'!Q11</f>
        <v>3.75</v>
      </c>
      <c r="G12" s="51" t="str">
        <f>'1st Semester'!X11</f>
        <v>A</v>
      </c>
      <c r="H12" s="51">
        <f>'1st Semester'!Y11</f>
        <v>3.75</v>
      </c>
      <c r="I12" s="51" t="str">
        <f>'1st Semester'!AF11</f>
        <v>A</v>
      </c>
      <c r="J12" s="51">
        <f>'1st Semester'!AG11</f>
        <v>3.75</v>
      </c>
    </row>
    <row r="13" spans="1:10">
      <c r="A13" s="51">
        <v>10</v>
      </c>
      <c r="B13" s="51">
        <v>2011236010</v>
      </c>
      <c r="C13" s="51" t="str">
        <f>'1st Semester'!H12</f>
        <v>A+</v>
      </c>
      <c r="D13" s="51">
        <f>'1st Semester'!I12</f>
        <v>4</v>
      </c>
      <c r="E13" s="51" t="str">
        <f>'1st Semester'!P12</f>
        <v>A+</v>
      </c>
      <c r="F13" s="51">
        <f>'1st Semester'!Q12</f>
        <v>4</v>
      </c>
      <c r="G13" s="51" t="str">
        <f>'1st Semester'!X12</f>
        <v>A+</v>
      </c>
      <c r="H13" s="51">
        <f>'1st Semester'!Y12</f>
        <v>4</v>
      </c>
      <c r="I13" s="51" t="str">
        <f>'1st Semester'!AF12</f>
        <v>A+</v>
      </c>
      <c r="J13" s="51">
        <f>'1st Semester'!AG12</f>
        <v>4</v>
      </c>
    </row>
    <row r="14" spans="1:10">
      <c r="A14" s="51">
        <v>11</v>
      </c>
      <c r="B14" s="51">
        <v>2011236011</v>
      </c>
      <c r="C14" s="51" t="str">
        <f>'1st Semester'!H13</f>
        <v>A+</v>
      </c>
      <c r="D14" s="51">
        <f>'1st Semester'!I13</f>
        <v>4</v>
      </c>
      <c r="E14" s="51" t="str">
        <f>'1st Semester'!P13</f>
        <v>A+</v>
      </c>
      <c r="F14" s="51">
        <f>'1st Semester'!Q13</f>
        <v>4</v>
      </c>
      <c r="G14" s="51" t="str">
        <f>'1st Semester'!X13</f>
        <v>A+</v>
      </c>
      <c r="H14" s="51">
        <f>'1st Semester'!Y13</f>
        <v>4</v>
      </c>
      <c r="I14" s="51" t="str">
        <f>'1st Semester'!AF13</f>
        <v>A+</v>
      </c>
      <c r="J14" s="51">
        <f>'1st Semester'!AG13</f>
        <v>4</v>
      </c>
    </row>
    <row r="15" spans="1:10">
      <c r="A15" s="51">
        <v>12</v>
      </c>
      <c r="B15" s="51">
        <v>2011236012</v>
      </c>
      <c r="C15" s="51" t="str">
        <f>'1st Semester'!H14</f>
        <v>A+</v>
      </c>
      <c r="D15" s="51">
        <f>'1st Semester'!I14</f>
        <v>4</v>
      </c>
      <c r="E15" s="51" t="str">
        <f>'1st Semester'!P14</f>
        <v>A+</v>
      </c>
      <c r="F15" s="51">
        <f>'1st Semester'!Q14</f>
        <v>4</v>
      </c>
      <c r="G15" s="51" t="str">
        <f>'1st Semester'!X14</f>
        <v>A+</v>
      </c>
      <c r="H15" s="51">
        <f>'1st Semester'!Y14</f>
        <v>4</v>
      </c>
      <c r="I15" s="51" t="str">
        <f>'1st Semester'!AF14</f>
        <v>A+</v>
      </c>
      <c r="J15" s="51">
        <f>'1st Semester'!AG14</f>
        <v>4</v>
      </c>
    </row>
    <row r="16" spans="1:10">
      <c r="A16" s="51">
        <v>13</v>
      </c>
      <c r="B16" s="51">
        <v>2011236013</v>
      </c>
      <c r="C16" s="51" t="str">
        <f>'1st Semester'!H15</f>
        <v>A+</v>
      </c>
      <c r="D16" s="51">
        <f>'1st Semester'!I15</f>
        <v>4</v>
      </c>
      <c r="E16" s="51" t="str">
        <f>'1st Semester'!P15</f>
        <v>A+</v>
      </c>
      <c r="F16" s="51">
        <f>'1st Semester'!Q15</f>
        <v>4</v>
      </c>
      <c r="G16" s="51" t="str">
        <f>'1st Semester'!X15</f>
        <v>A+</v>
      </c>
      <c r="H16" s="51">
        <f>'1st Semester'!Y15</f>
        <v>4</v>
      </c>
      <c r="I16" s="51" t="str">
        <f>'1st Semester'!AF15</f>
        <v>A+</v>
      </c>
      <c r="J16" s="51">
        <f>'1st Semester'!AG15</f>
        <v>4</v>
      </c>
    </row>
    <row r="17" spans="1:10">
      <c r="A17" s="51">
        <v>14</v>
      </c>
      <c r="B17" s="51">
        <v>2011236014</v>
      </c>
      <c r="C17" s="51" t="str">
        <f>'1st Semester'!H16</f>
        <v>B+</v>
      </c>
      <c r="D17" s="51">
        <f>'1st Semester'!I16</f>
        <v>3.25</v>
      </c>
      <c r="E17" s="51" t="str">
        <f>'1st Semester'!P16</f>
        <v>A</v>
      </c>
      <c r="F17" s="51">
        <f>'1st Semester'!Q16</f>
        <v>3.75</v>
      </c>
      <c r="G17" s="51" t="str">
        <f>'1st Semester'!X16</f>
        <v>A-</v>
      </c>
      <c r="H17" s="51">
        <f>'1st Semester'!Y16</f>
        <v>3.5</v>
      </c>
      <c r="I17" s="51" t="str">
        <f>'1st Semester'!AF16</f>
        <v>A-</v>
      </c>
      <c r="J17" s="51">
        <f>'1st Semester'!AG16</f>
        <v>3.5</v>
      </c>
    </row>
    <row r="18" spans="1:10">
      <c r="A18" s="51">
        <v>15</v>
      </c>
      <c r="B18" s="51">
        <v>2011236015</v>
      </c>
      <c r="C18" s="51" t="str">
        <f>'1st Semester'!H17</f>
        <v>A+</v>
      </c>
      <c r="D18" s="51">
        <f>'1st Semester'!I17</f>
        <v>4</v>
      </c>
      <c r="E18" s="51" t="str">
        <f>'1st Semester'!P17</f>
        <v>A+</v>
      </c>
      <c r="F18" s="51">
        <f>'1st Semester'!Q17</f>
        <v>4</v>
      </c>
      <c r="G18" s="51" t="str">
        <f>'1st Semester'!X17</f>
        <v>A+</v>
      </c>
      <c r="H18" s="51">
        <f>'1st Semester'!Y17</f>
        <v>4</v>
      </c>
      <c r="I18" s="51" t="str">
        <f>'1st Semester'!AF17</f>
        <v>A+</v>
      </c>
      <c r="J18" s="51">
        <f>'1st Semester'!AG17</f>
        <v>4</v>
      </c>
    </row>
    <row r="19" spans="1:10">
      <c r="A19" s="51">
        <v>16</v>
      </c>
      <c r="B19" s="51">
        <v>2011236016</v>
      </c>
      <c r="C19" s="51" t="str">
        <f>'1st Semester'!H18</f>
        <v>B+</v>
      </c>
      <c r="D19" s="51">
        <f>'1st Semester'!I18</f>
        <v>3.25</v>
      </c>
      <c r="E19" s="51" t="str">
        <f>'1st Semester'!P18</f>
        <v>A-</v>
      </c>
      <c r="F19" s="51">
        <f>'1st Semester'!Q18</f>
        <v>3.5</v>
      </c>
      <c r="G19" s="51" t="str">
        <f>'1st Semester'!X18</f>
        <v>B+</v>
      </c>
      <c r="H19" s="51">
        <f>'1st Semester'!Y18</f>
        <v>3.25</v>
      </c>
      <c r="I19" s="51" t="str">
        <f>'1st Semester'!AF18</f>
        <v>A-</v>
      </c>
      <c r="J19" s="51">
        <f>'1st Semester'!AG18</f>
        <v>3.5</v>
      </c>
    </row>
    <row r="20" spans="1:10">
      <c r="A20" s="51">
        <v>17</v>
      </c>
      <c r="B20" s="51">
        <v>2011236017</v>
      </c>
      <c r="C20" s="51" t="str">
        <f>'1st Semester'!H19</f>
        <v>A+</v>
      </c>
      <c r="D20" s="51">
        <f>'1st Semester'!I19</f>
        <v>4</v>
      </c>
      <c r="E20" s="51" t="str">
        <f>'1st Semester'!P19</f>
        <v>A+</v>
      </c>
      <c r="F20" s="51">
        <f>'1st Semester'!Q19</f>
        <v>4</v>
      </c>
      <c r="G20" s="51" t="str">
        <f>'1st Semester'!X19</f>
        <v>A+</v>
      </c>
      <c r="H20" s="51">
        <f>'1st Semester'!Y19</f>
        <v>4</v>
      </c>
      <c r="I20" s="51" t="str">
        <f>'1st Semester'!AF19</f>
        <v>A</v>
      </c>
      <c r="J20" s="51">
        <f>'1st Semester'!AG19</f>
        <v>3.75</v>
      </c>
    </row>
    <row r="21" spans="1:10">
      <c r="A21" s="51">
        <v>18</v>
      </c>
      <c r="B21" s="51">
        <v>2011236018</v>
      </c>
      <c r="C21" s="51" t="str">
        <f>'1st Semester'!H20</f>
        <v>A</v>
      </c>
      <c r="D21" s="51">
        <f>'1st Semester'!I20</f>
        <v>3.75</v>
      </c>
      <c r="E21" s="51" t="str">
        <f>'1st Semester'!P20</f>
        <v>A</v>
      </c>
      <c r="F21" s="51">
        <f>'1st Semester'!Q20</f>
        <v>3.75</v>
      </c>
      <c r="G21" s="51" t="str">
        <f>'1st Semester'!X20</f>
        <v>A+</v>
      </c>
      <c r="H21" s="51">
        <f>'1st Semester'!Y20</f>
        <v>4</v>
      </c>
      <c r="I21" s="51" t="str">
        <f>'1st Semester'!AF20</f>
        <v>A</v>
      </c>
      <c r="J21" s="51">
        <f>'1st Semester'!AG20</f>
        <v>3.75</v>
      </c>
    </row>
    <row r="22" spans="1:10">
      <c r="A22" s="51">
        <v>19</v>
      </c>
      <c r="B22" s="51">
        <v>2011236019</v>
      </c>
      <c r="C22" s="51" t="str">
        <f>'1st Semester'!H21</f>
        <v>A</v>
      </c>
      <c r="D22" s="51">
        <f>'1st Semester'!I21</f>
        <v>3.75</v>
      </c>
      <c r="E22" s="51" t="str">
        <f>'1st Semester'!P21</f>
        <v>A+</v>
      </c>
      <c r="F22" s="51">
        <f>'1st Semester'!Q21</f>
        <v>4</v>
      </c>
      <c r="G22" s="51" t="str">
        <f>'1st Semester'!X21</f>
        <v>A+</v>
      </c>
      <c r="H22" s="51">
        <f>'1st Semester'!Y21</f>
        <v>4</v>
      </c>
      <c r="I22" s="51" t="str">
        <f>'1st Semester'!AF21</f>
        <v>A+</v>
      </c>
      <c r="J22" s="51">
        <f>'1st Semester'!AG21</f>
        <v>4</v>
      </c>
    </row>
    <row r="23" spans="1:10">
      <c r="A23" s="51">
        <v>20</v>
      </c>
      <c r="B23" s="51">
        <v>2011236020</v>
      </c>
      <c r="C23" s="51" t="str">
        <f>'1st Semester'!H22</f>
        <v>A+</v>
      </c>
      <c r="D23" s="51">
        <f>'1st Semester'!I22</f>
        <v>4</v>
      </c>
      <c r="E23" s="51" t="str">
        <f>'1st Semester'!P22</f>
        <v>A</v>
      </c>
      <c r="F23" s="51">
        <f>'1st Semester'!Q22</f>
        <v>3.75</v>
      </c>
      <c r="G23" s="51" t="str">
        <f>'1st Semester'!X22</f>
        <v>A+</v>
      </c>
      <c r="H23" s="51">
        <f>'1st Semester'!Y22</f>
        <v>4</v>
      </c>
      <c r="I23" s="51" t="str">
        <f>'1st Semester'!AF22</f>
        <v>A-</v>
      </c>
      <c r="J23" s="51">
        <f>'1st Semester'!AG22</f>
        <v>3.5</v>
      </c>
    </row>
    <row r="24" spans="1:10">
      <c r="A24" s="51">
        <v>21</v>
      </c>
      <c r="B24" s="51">
        <v>2011236021</v>
      </c>
      <c r="C24" s="51" t="str">
        <f>'1st Semester'!H23</f>
        <v>A-</v>
      </c>
      <c r="D24" s="51">
        <f>'1st Semester'!I23</f>
        <v>3.5</v>
      </c>
      <c r="E24" s="51" t="str">
        <f>'1st Semester'!P23</f>
        <v>B+</v>
      </c>
      <c r="F24" s="51">
        <f>'1st Semester'!Q23</f>
        <v>3.25</v>
      </c>
      <c r="G24" s="51" t="str">
        <f>'1st Semester'!X23</f>
        <v>A-</v>
      </c>
      <c r="H24" s="51">
        <f>'1st Semester'!Y23</f>
        <v>3.5</v>
      </c>
      <c r="I24" s="51" t="str">
        <f>'1st Semester'!AF23</f>
        <v>A</v>
      </c>
      <c r="J24" s="51">
        <f>'1st Semester'!AG23</f>
        <v>3.75</v>
      </c>
    </row>
    <row r="25" spans="1:10">
      <c r="A25" s="51">
        <v>22</v>
      </c>
      <c r="B25" s="51">
        <v>2011236022</v>
      </c>
      <c r="C25" s="51" t="str">
        <f>'1st Semester'!H24</f>
        <v>A+</v>
      </c>
      <c r="D25" s="51">
        <f>'1st Semester'!I24</f>
        <v>4</v>
      </c>
      <c r="E25" s="51" t="str">
        <f>'1st Semester'!P24</f>
        <v>A+</v>
      </c>
      <c r="F25" s="51">
        <f>'1st Semester'!Q24</f>
        <v>4</v>
      </c>
      <c r="G25" s="51" t="str">
        <f>'1st Semester'!X24</f>
        <v>A+</v>
      </c>
      <c r="H25" s="51">
        <f>'1st Semester'!Y24</f>
        <v>4</v>
      </c>
      <c r="I25" s="51" t="str">
        <f>'1st Semester'!AF24</f>
        <v>A</v>
      </c>
      <c r="J25" s="51">
        <f>'1st Semester'!AG24</f>
        <v>3.75</v>
      </c>
    </row>
    <row r="26" spans="1:10">
      <c r="A26" s="51">
        <v>23</v>
      </c>
      <c r="B26" s="51">
        <v>2011236023</v>
      </c>
      <c r="C26" s="51" t="str">
        <f>'1st Semester'!H25</f>
        <v>B+</v>
      </c>
      <c r="D26" s="51">
        <f>'1st Semester'!I25</f>
        <v>3.25</v>
      </c>
      <c r="E26" s="51" t="str">
        <f>'1st Semester'!P25</f>
        <v>A-</v>
      </c>
      <c r="F26" s="51">
        <f>'1st Semester'!Q25</f>
        <v>3.5</v>
      </c>
      <c r="G26" s="51" t="str">
        <f>'1st Semester'!X25</f>
        <v>A</v>
      </c>
      <c r="H26" s="51">
        <f>'1st Semester'!Y25</f>
        <v>3.75</v>
      </c>
      <c r="I26" s="51" t="str">
        <f>'1st Semester'!AF25</f>
        <v>B+</v>
      </c>
      <c r="J26" s="51">
        <f>'1st Semester'!AG25</f>
        <v>3.25</v>
      </c>
    </row>
    <row r="27" spans="1:10">
      <c r="A27" s="51">
        <v>24</v>
      </c>
      <c r="B27" s="51">
        <v>2011236024</v>
      </c>
      <c r="C27" s="51" t="str">
        <f>'1st Semester'!H26</f>
        <v>A+</v>
      </c>
      <c r="D27" s="51">
        <f>'1st Semester'!I26</f>
        <v>4</v>
      </c>
      <c r="E27" s="51" t="str">
        <f>'1st Semester'!P26</f>
        <v>A+</v>
      </c>
      <c r="F27" s="51">
        <f>'1st Semester'!Q26</f>
        <v>4</v>
      </c>
      <c r="G27" s="51" t="str">
        <f>'1st Semester'!X26</f>
        <v>A+</v>
      </c>
      <c r="H27" s="51">
        <f>'1st Semester'!Y26</f>
        <v>4</v>
      </c>
      <c r="I27" s="51" t="str">
        <f>'1st Semester'!AF26</f>
        <v>A+</v>
      </c>
      <c r="J27" s="51">
        <f>'1st Semester'!AG26</f>
        <v>4</v>
      </c>
    </row>
    <row r="28" spans="1:10">
      <c r="A28" s="51">
        <v>25</v>
      </c>
      <c r="B28" s="51">
        <v>2011236025</v>
      </c>
      <c r="C28" s="51" t="str">
        <f>'1st Semester'!H27</f>
        <v>A</v>
      </c>
      <c r="D28" s="51">
        <f>'1st Semester'!I27</f>
        <v>3.75</v>
      </c>
      <c r="E28" s="51" t="str">
        <f>'1st Semester'!P27</f>
        <v>A</v>
      </c>
      <c r="F28" s="51">
        <f>'1st Semester'!Q27</f>
        <v>3.75</v>
      </c>
      <c r="G28" s="51" t="str">
        <f>'1st Semester'!X27</f>
        <v>A+</v>
      </c>
      <c r="H28" s="51">
        <f>'1st Semester'!Y27</f>
        <v>4</v>
      </c>
      <c r="I28" s="51" t="str">
        <f>'1st Semester'!AF27</f>
        <v>A+</v>
      </c>
      <c r="J28" s="51">
        <f>'1st Semester'!AG27</f>
        <v>4</v>
      </c>
    </row>
    <row r="29" spans="1:10">
      <c r="A29" s="51">
        <v>26</v>
      </c>
      <c r="B29" s="51">
        <v>2011236026</v>
      </c>
      <c r="C29" s="51" t="str">
        <f>'1st Semester'!H28</f>
        <v>A-</v>
      </c>
      <c r="D29" s="51">
        <f>'1st Semester'!I28</f>
        <v>3.5</v>
      </c>
      <c r="E29" s="51" t="str">
        <f>'1st Semester'!P28</f>
        <v>B+</v>
      </c>
      <c r="F29" s="51">
        <f>'1st Semester'!Q28</f>
        <v>3.25</v>
      </c>
      <c r="G29" s="51" t="str">
        <f>'1st Semester'!X28</f>
        <v>A</v>
      </c>
      <c r="H29" s="51">
        <f>'1st Semester'!Y28</f>
        <v>3.75</v>
      </c>
      <c r="I29" s="51" t="str">
        <f>'1st Semester'!AF28</f>
        <v>B+</v>
      </c>
      <c r="J29" s="51">
        <f>'1st Semester'!AG28</f>
        <v>3.25</v>
      </c>
    </row>
    <row r="30" spans="1:10">
      <c r="A30" s="51">
        <v>27</v>
      </c>
      <c r="B30" s="51">
        <v>2011236027</v>
      </c>
      <c r="C30" s="51" t="str">
        <f>'1st Semester'!H29</f>
        <v>A+</v>
      </c>
      <c r="D30" s="51">
        <f>'1st Semester'!I29</f>
        <v>4</v>
      </c>
      <c r="E30" s="51" t="str">
        <f>'1st Semester'!P29</f>
        <v>A+</v>
      </c>
      <c r="F30" s="51">
        <f>'1st Semester'!Q29</f>
        <v>4</v>
      </c>
      <c r="G30" s="51" t="str">
        <f>'1st Semester'!X29</f>
        <v>A+</v>
      </c>
      <c r="H30" s="51">
        <f>'1st Semester'!Y29</f>
        <v>4</v>
      </c>
      <c r="I30" s="51" t="str">
        <f>'1st Semester'!AF29</f>
        <v>A+</v>
      </c>
      <c r="J30" s="51">
        <f>'1st Semester'!AG29</f>
        <v>4</v>
      </c>
    </row>
    <row r="31" spans="1:10">
      <c r="A31" s="51">
        <v>28</v>
      </c>
      <c r="B31" s="51">
        <v>2011236028</v>
      </c>
      <c r="C31" s="51" t="str">
        <f>'1st Semester'!H30</f>
        <v>A</v>
      </c>
      <c r="D31" s="51">
        <f>'1st Semester'!I30</f>
        <v>3.75</v>
      </c>
      <c r="E31" s="51" t="str">
        <f>'1st Semester'!P30</f>
        <v>A+</v>
      </c>
      <c r="F31" s="51">
        <f>'1st Semester'!Q30</f>
        <v>4</v>
      </c>
      <c r="G31" s="51" t="str">
        <f>'1st Semester'!X30</f>
        <v>A+</v>
      </c>
      <c r="H31" s="51">
        <f>'1st Semester'!Y30</f>
        <v>4</v>
      </c>
      <c r="I31" s="51" t="str">
        <f>'1st Semester'!AF30</f>
        <v>A+</v>
      </c>
      <c r="J31" s="51">
        <f>'1st Semester'!AG30</f>
        <v>4</v>
      </c>
    </row>
    <row r="32" spans="1:10">
      <c r="A32" s="51">
        <v>29</v>
      </c>
      <c r="B32" s="51">
        <v>2011236029</v>
      </c>
      <c r="C32" s="51" t="str">
        <f>'1st Semester'!H31</f>
        <v>A+</v>
      </c>
      <c r="D32" s="51">
        <f>'1st Semester'!I31</f>
        <v>4</v>
      </c>
      <c r="E32" s="51" t="str">
        <f>'1st Semester'!P31</f>
        <v>A+</v>
      </c>
      <c r="F32" s="51">
        <f>'1st Semester'!Q31</f>
        <v>4</v>
      </c>
      <c r="G32" s="51" t="str">
        <f>'1st Semester'!X31</f>
        <v>A+</v>
      </c>
      <c r="H32" s="51">
        <f>'1st Semester'!Y31</f>
        <v>4</v>
      </c>
      <c r="I32" s="51" t="str">
        <f>'1st Semester'!AF31</f>
        <v>A+</v>
      </c>
      <c r="J32" s="51">
        <f>'1st Semester'!AG31</f>
        <v>4</v>
      </c>
    </row>
    <row r="33" spans="1:10">
      <c r="A33" s="51">
        <v>30</v>
      </c>
      <c r="B33" s="51">
        <v>2011236030</v>
      </c>
      <c r="C33" s="51" t="str">
        <f>'1st Semester'!H32</f>
        <v>A-</v>
      </c>
      <c r="D33" s="51">
        <f>'1st Semester'!I32</f>
        <v>3.5</v>
      </c>
      <c r="E33" s="51" t="str">
        <f>'1st Semester'!P32</f>
        <v>B+</v>
      </c>
      <c r="F33" s="51">
        <f>'1st Semester'!Q32</f>
        <v>3.25</v>
      </c>
      <c r="G33" s="51" t="str">
        <f>'1st Semester'!X32</f>
        <v>B+</v>
      </c>
      <c r="H33" s="51">
        <f>'1st Semester'!Y32</f>
        <v>3.25</v>
      </c>
      <c r="I33" s="51" t="str">
        <f>'1st Semester'!AF32</f>
        <v>B+</v>
      </c>
      <c r="J33" s="51">
        <f>'1st Semester'!AG32</f>
        <v>3.25</v>
      </c>
    </row>
    <row r="34" spans="1:10">
      <c r="C34" s="51"/>
      <c r="D34" s="51"/>
    </row>
  </sheetData>
  <mergeCells count="8">
    <mergeCell ref="C2:D2"/>
    <mergeCell ref="E2:F2"/>
    <mergeCell ref="G2:H2"/>
    <mergeCell ref="I2:J2"/>
    <mergeCell ref="C1:D1"/>
    <mergeCell ref="E1:F1"/>
    <mergeCell ref="G1:H1"/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4"/>
  <sheetViews>
    <sheetView topLeftCell="A7" zoomScale="80" zoomScaleNormal="80" workbookViewId="0">
      <selection activeCell="N19" sqref="N19"/>
    </sheetView>
  </sheetViews>
  <sheetFormatPr defaultRowHeight="15"/>
  <cols>
    <col min="1" max="1" width="9" style="20"/>
    <col min="2" max="2" width="13.125" style="51" customWidth="1"/>
    <col min="3" max="3" width="12.875" style="20" customWidth="1"/>
    <col min="4" max="4" width="9" style="20"/>
    <col min="5" max="5" width="14" style="20" customWidth="1"/>
    <col min="6" max="6" width="9" style="20"/>
    <col min="7" max="7" width="12.75" style="20" customWidth="1"/>
    <col min="8" max="8" width="9" style="20"/>
    <col min="9" max="9" width="12.375" style="20" customWidth="1"/>
    <col min="10" max="10" width="9" style="20"/>
    <col min="239" max="239" width="13.125" customWidth="1"/>
    <col min="242" max="242" width="15.375" customWidth="1"/>
    <col min="244" max="244" width="12.875" customWidth="1"/>
    <col min="248" max="248" width="15.25" customWidth="1"/>
    <col min="250" max="250" width="14" customWidth="1"/>
    <col min="254" max="254" width="14.625" customWidth="1"/>
    <col min="256" max="256" width="12.75" customWidth="1"/>
    <col min="260" max="260" width="16.625" customWidth="1"/>
    <col min="262" max="262" width="12.375" customWidth="1"/>
    <col min="264" max="264" width="13.25" customWidth="1"/>
    <col min="265" max="265" width="11.75" customWidth="1"/>
    <col min="266" max="266" width="14.125" customWidth="1"/>
    <col min="495" max="495" width="13.125" customWidth="1"/>
    <col min="498" max="498" width="15.375" customWidth="1"/>
    <col min="500" max="500" width="12.875" customWidth="1"/>
    <col min="504" max="504" width="15.25" customWidth="1"/>
    <col min="506" max="506" width="14" customWidth="1"/>
    <col min="510" max="510" width="14.625" customWidth="1"/>
    <col min="512" max="512" width="12.75" customWidth="1"/>
    <col min="516" max="516" width="16.625" customWidth="1"/>
    <col min="518" max="518" width="12.375" customWidth="1"/>
    <col min="520" max="520" width="13.25" customWidth="1"/>
    <col min="521" max="521" width="11.75" customWidth="1"/>
    <col min="522" max="522" width="14.125" customWidth="1"/>
    <col min="751" max="751" width="13.125" customWidth="1"/>
    <col min="754" max="754" width="15.375" customWidth="1"/>
    <col min="756" max="756" width="12.875" customWidth="1"/>
    <col min="760" max="760" width="15.25" customWidth="1"/>
    <col min="762" max="762" width="14" customWidth="1"/>
    <col min="766" max="766" width="14.625" customWidth="1"/>
    <col min="768" max="768" width="12.75" customWidth="1"/>
    <col min="772" max="772" width="16.625" customWidth="1"/>
    <col min="774" max="774" width="12.375" customWidth="1"/>
    <col min="776" max="776" width="13.25" customWidth="1"/>
    <col min="777" max="777" width="11.75" customWidth="1"/>
    <col min="778" max="778" width="14.125" customWidth="1"/>
    <col min="1007" max="1007" width="13.125" customWidth="1"/>
    <col min="1010" max="1010" width="15.375" customWidth="1"/>
    <col min="1012" max="1012" width="12.875" customWidth="1"/>
    <col min="1016" max="1016" width="15.25" customWidth="1"/>
    <col min="1018" max="1018" width="14" customWidth="1"/>
    <col min="1022" max="1022" width="14.625" customWidth="1"/>
    <col min="1024" max="1024" width="12.75" customWidth="1"/>
    <col min="1028" max="1028" width="16.625" customWidth="1"/>
    <col min="1030" max="1030" width="12.375" customWidth="1"/>
    <col min="1032" max="1032" width="13.25" customWidth="1"/>
    <col min="1033" max="1033" width="11.75" customWidth="1"/>
    <col min="1034" max="1034" width="14.125" customWidth="1"/>
    <col min="1263" max="1263" width="13.125" customWidth="1"/>
    <col min="1266" max="1266" width="15.375" customWidth="1"/>
    <col min="1268" max="1268" width="12.875" customWidth="1"/>
    <col min="1272" max="1272" width="15.25" customWidth="1"/>
    <col min="1274" max="1274" width="14" customWidth="1"/>
    <col min="1278" max="1278" width="14.625" customWidth="1"/>
    <col min="1280" max="1280" width="12.75" customWidth="1"/>
    <col min="1284" max="1284" width="16.625" customWidth="1"/>
    <col min="1286" max="1286" width="12.375" customWidth="1"/>
    <col min="1288" max="1288" width="13.25" customWidth="1"/>
    <col min="1289" max="1289" width="11.75" customWidth="1"/>
    <col min="1290" max="1290" width="14.125" customWidth="1"/>
    <col min="1519" max="1519" width="13.125" customWidth="1"/>
    <col min="1522" max="1522" width="15.375" customWidth="1"/>
    <col min="1524" max="1524" width="12.875" customWidth="1"/>
    <col min="1528" max="1528" width="15.25" customWidth="1"/>
    <col min="1530" max="1530" width="14" customWidth="1"/>
    <col min="1534" max="1534" width="14.625" customWidth="1"/>
    <col min="1536" max="1536" width="12.75" customWidth="1"/>
    <col min="1540" max="1540" width="16.625" customWidth="1"/>
    <col min="1542" max="1542" width="12.375" customWidth="1"/>
    <col min="1544" max="1544" width="13.25" customWidth="1"/>
    <col min="1545" max="1545" width="11.75" customWidth="1"/>
    <col min="1546" max="1546" width="14.125" customWidth="1"/>
    <col min="1775" max="1775" width="13.125" customWidth="1"/>
    <col min="1778" max="1778" width="15.375" customWidth="1"/>
    <col min="1780" max="1780" width="12.875" customWidth="1"/>
    <col min="1784" max="1784" width="15.25" customWidth="1"/>
    <col min="1786" max="1786" width="14" customWidth="1"/>
    <col min="1790" max="1790" width="14.625" customWidth="1"/>
    <col min="1792" max="1792" width="12.75" customWidth="1"/>
    <col min="1796" max="1796" width="16.625" customWidth="1"/>
    <col min="1798" max="1798" width="12.375" customWidth="1"/>
    <col min="1800" max="1800" width="13.25" customWidth="1"/>
    <col min="1801" max="1801" width="11.75" customWidth="1"/>
    <col min="1802" max="1802" width="14.125" customWidth="1"/>
    <col min="2031" max="2031" width="13.125" customWidth="1"/>
    <col min="2034" max="2034" width="15.375" customWidth="1"/>
    <col min="2036" max="2036" width="12.875" customWidth="1"/>
    <col min="2040" max="2040" width="15.25" customWidth="1"/>
    <col min="2042" max="2042" width="14" customWidth="1"/>
    <col min="2046" max="2046" width="14.625" customWidth="1"/>
    <col min="2048" max="2048" width="12.75" customWidth="1"/>
    <col min="2052" max="2052" width="16.625" customWidth="1"/>
    <col min="2054" max="2054" width="12.375" customWidth="1"/>
    <col min="2056" max="2056" width="13.25" customWidth="1"/>
    <col min="2057" max="2057" width="11.75" customWidth="1"/>
    <col min="2058" max="2058" width="14.125" customWidth="1"/>
    <col min="2287" max="2287" width="13.125" customWidth="1"/>
    <col min="2290" max="2290" width="15.375" customWidth="1"/>
    <col min="2292" max="2292" width="12.875" customWidth="1"/>
    <col min="2296" max="2296" width="15.25" customWidth="1"/>
    <col min="2298" max="2298" width="14" customWidth="1"/>
    <col min="2302" max="2302" width="14.625" customWidth="1"/>
    <col min="2304" max="2304" width="12.75" customWidth="1"/>
    <col min="2308" max="2308" width="16.625" customWidth="1"/>
    <col min="2310" max="2310" width="12.375" customWidth="1"/>
    <col min="2312" max="2312" width="13.25" customWidth="1"/>
    <col min="2313" max="2313" width="11.75" customWidth="1"/>
    <col min="2314" max="2314" width="14.125" customWidth="1"/>
    <col min="2543" max="2543" width="13.125" customWidth="1"/>
    <col min="2546" max="2546" width="15.375" customWidth="1"/>
    <col min="2548" max="2548" width="12.875" customWidth="1"/>
    <col min="2552" max="2552" width="15.25" customWidth="1"/>
    <col min="2554" max="2554" width="14" customWidth="1"/>
    <col min="2558" max="2558" width="14.625" customWidth="1"/>
    <col min="2560" max="2560" width="12.75" customWidth="1"/>
    <col min="2564" max="2564" width="16.625" customWidth="1"/>
    <col min="2566" max="2566" width="12.375" customWidth="1"/>
    <col min="2568" max="2568" width="13.25" customWidth="1"/>
    <col min="2569" max="2569" width="11.75" customWidth="1"/>
    <col min="2570" max="2570" width="14.125" customWidth="1"/>
    <col min="2799" max="2799" width="13.125" customWidth="1"/>
    <col min="2802" max="2802" width="15.375" customWidth="1"/>
    <col min="2804" max="2804" width="12.875" customWidth="1"/>
    <col min="2808" max="2808" width="15.25" customWidth="1"/>
    <col min="2810" max="2810" width="14" customWidth="1"/>
    <col min="2814" max="2814" width="14.625" customWidth="1"/>
    <col min="2816" max="2816" width="12.75" customWidth="1"/>
    <col min="2820" max="2820" width="16.625" customWidth="1"/>
    <col min="2822" max="2822" width="12.375" customWidth="1"/>
    <col min="2824" max="2824" width="13.25" customWidth="1"/>
    <col min="2825" max="2825" width="11.75" customWidth="1"/>
    <col min="2826" max="2826" width="14.125" customWidth="1"/>
    <col min="3055" max="3055" width="13.125" customWidth="1"/>
    <col min="3058" max="3058" width="15.375" customWidth="1"/>
    <col min="3060" max="3060" width="12.875" customWidth="1"/>
    <col min="3064" max="3064" width="15.25" customWidth="1"/>
    <col min="3066" max="3066" width="14" customWidth="1"/>
    <col min="3070" max="3070" width="14.625" customWidth="1"/>
    <col min="3072" max="3072" width="12.75" customWidth="1"/>
    <col min="3076" max="3076" width="16.625" customWidth="1"/>
    <col min="3078" max="3078" width="12.375" customWidth="1"/>
    <col min="3080" max="3080" width="13.25" customWidth="1"/>
    <col min="3081" max="3081" width="11.75" customWidth="1"/>
    <col min="3082" max="3082" width="14.125" customWidth="1"/>
    <col min="3311" max="3311" width="13.125" customWidth="1"/>
    <col min="3314" max="3314" width="15.375" customWidth="1"/>
    <col min="3316" max="3316" width="12.875" customWidth="1"/>
    <col min="3320" max="3320" width="15.25" customWidth="1"/>
    <col min="3322" max="3322" width="14" customWidth="1"/>
    <col min="3326" max="3326" width="14.625" customWidth="1"/>
    <col min="3328" max="3328" width="12.75" customWidth="1"/>
    <col min="3332" max="3332" width="16.625" customWidth="1"/>
    <col min="3334" max="3334" width="12.375" customWidth="1"/>
    <col min="3336" max="3336" width="13.25" customWidth="1"/>
    <col min="3337" max="3337" width="11.75" customWidth="1"/>
    <col min="3338" max="3338" width="14.125" customWidth="1"/>
    <col min="3567" max="3567" width="13.125" customWidth="1"/>
    <col min="3570" max="3570" width="15.375" customWidth="1"/>
    <col min="3572" max="3572" width="12.875" customWidth="1"/>
    <col min="3576" max="3576" width="15.25" customWidth="1"/>
    <col min="3578" max="3578" width="14" customWidth="1"/>
    <col min="3582" max="3582" width="14.625" customWidth="1"/>
    <col min="3584" max="3584" width="12.75" customWidth="1"/>
    <col min="3588" max="3588" width="16.625" customWidth="1"/>
    <col min="3590" max="3590" width="12.375" customWidth="1"/>
    <col min="3592" max="3592" width="13.25" customWidth="1"/>
    <col min="3593" max="3593" width="11.75" customWidth="1"/>
    <col min="3594" max="3594" width="14.125" customWidth="1"/>
    <col min="3823" max="3823" width="13.125" customWidth="1"/>
    <col min="3826" max="3826" width="15.375" customWidth="1"/>
    <col min="3828" max="3828" width="12.875" customWidth="1"/>
    <col min="3832" max="3832" width="15.25" customWidth="1"/>
    <col min="3834" max="3834" width="14" customWidth="1"/>
    <col min="3838" max="3838" width="14.625" customWidth="1"/>
    <col min="3840" max="3840" width="12.75" customWidth="1"/>
    <col min="3844" max="3844" width="16.625" customWidth="1"/>
    <col min="3846" max="3846" width="12.375" customWidth="1"/>
    <col min="3848" max="3848" width="13.25" customWidth="1"/>
    <col min="3849" max="3849" width="11.75" customWidth="1"/>
    <col min="3850" max="3850" width="14.125" customWidth="1"/>
    <col min="4079" max="4079" width="13.125" customWidth="1"/>
    <col min="4082" max="4082" width="15.375" customWidth="1"/>
    <col min="4084" max="4084" width="12.875" customWidth="1"/>
    <col min="4088" max="4088" width="15.25" customWidth="1"/>
    <col min="4090" max="4090" width="14" customWidth="1"/>
    <col min="4094" max="4094" width="14.625" customWidth="1"/>
    <col min="4096" max="4096" width="12.75" customWidth="1"/>
    <col min="4100" max="4100" width="16.625" customWidth="1"/>
    <col min="4102" max="4102" width="12.375" customWidth="1"/>
    <col min="4104" max="4104" width="13.25" customWidth="1"/>
    <col min="4105" max="4105" width="11.75" customWidth="1"/>
    <col min="4106" max="4106" width="14.125" customWidth="1"/>
    <col min="4335" max="4335" width="13.125" customWidth="1"/>
    <col min="4338" max="4338" width="15.375" customWidth="1"/>
    <col min="4340" max="4340" width="12.875" customWidth="1"/>
    <col min="4344" max="4344" width="15.25" customWidth="1"/>
    <col min="4346" max="4346" width="14" customWidth="1"/>
    <col min="4350" max="4350" width="14.625" customWidth="1"/>
    <col min="4352" max="4352" width="12.75" customWidth="1"/>
    <col min="4356" max="4356" width="16.625" customWidth="1"/>
    <col min="4358" max="4358" width="12.375" customWidth="1"/>
    <col min="4360" max="4360" width="13.25" customWidth="1"/>
    <col min="4361" max="4361" width="11.75" customWidth="1"/>
    <col min="4362" max="4362" width="14.125" customWidth="1"/>
    <col min="4591" max="4591" width="13.125" customWidth="1"/>
    <col min="4594" max="4594" width="15.375" customWidth="1"/>
    <col min="4596" max="4596" width="12.875" customWidth="1"/>
    <col min="4600" max="4600" width="15.25" customWidth="1"/>
    <col min="4602" max="4602" width="14" customWidth="1"/>
    <col min="4606" max="4606" width="14.625" customWidth="1"/>
    <col min="4608" max="4608" width="12.75" customWidth="1"/>
    <col min="4612" max="4612" width="16.625" customWidth="1"/>
    <col min="4614" max="4614" width="12.375" customWidth="1"/>
    <col min="4616" max="4616" width="13.25" customWidth="1"/>
    <col min="4617" max="4617" width="11.75" customWidth="1"/>
    <col min="4618" max="4618" width="14.125" customWidth="1"/>
    <col min="4847" max="4847" width="13.125" customWidth="1"/>
    <col min="4850" max="4850" width="15.375" customWidth="1"/>
    <col min="4852" max="4852" width="12.875" customWidth="1"/>
    <col min="4856" max="4856" width="15.25" customWidth="1"/>
    <col min="4858" max="4858" width="14" customWidth="1"/>
    <col min="4862" max="4862" width="14.625" customWidth="1"/>
    <col min="4864" max="4864" width="12.75" customWidth="1"/>
    <col min="4868" max="4868" width="16.625" customWidth="1"/>
    <col min="4870" max="4870" width="12.375" customWidth="1"/>
    <col min="4872" max="4872" width="13.25" customWidth="1"/>
    <col min="4873" max="4873" width="11.75" customWidth="1"/>
    <col min="4874" max="4874" width="14.125" customWidth="1"/>
    <col min="5103" max="5103" width="13.125" customWidth="1"/>
    <col min="5106" max="5106" width="15.375" customWidth="1"/>
    <col min="5108" max="5108" width="12.875" customWidth="1"/>
    <col min="5112" max="5112" width="15.25" customWidth="1"/>
    <col min="5114" max="5114" width="14" customWidth="1"/>
    <col min="5118" max="5118" width="14.625" customWidth="1"/>
    <col min="5120" max="5120" width="12.75" customWidth="1"/>
    <col min="5124" max="5124" width="16.625" customWidth="1"/>
    <col min="5126" max="5126" width="12.375" customWidth="1"/>
    <col min="5128" max="5128" width="13.25" customWidth="1"/>
    <col min="5129" max="5129" width="11.75" customWidth="1"/>
    <col min="5130" max="5130" width="14.125" customWidth="1"/>
    <col min="5359" max="5359" width="13.125" customWidth="1"/>
    <col min="5362" max="5362" width="15.375" customWidth="1"/>
    <col min="5364" max="5364" width="12.875" customWidth="1"/>
    <col min="5368" max="5368" width="15.25" customWidth="1"/>
    <col min="5370" max="5370" width="14" customWidth="1"/>
    <col min="5374" max="5374" width="14.625" customWidth="1"/>
    <col min="5376" max="5376" width="12.75" customWidth="1"/>
    <col min="5380" max="5380" width="16.625" customWidth="1"/>
    <col min="5382" max="5382" width="12.375" customWidth="1"/>
    <col min="5384" max="5384" width="13.25" customWidth="1"/>
    <col min="5385" max="5385" width="11.75" customWidth="1"/>
    <col min="5386" max="5386" width="14.125" customWidth="1"/>
    <col min="5615" max="5615" width="13.125" customWidth="1"/>
    <col min="5618" max="5618" width="15.375" customWidth="1"/>
    <col min="5620" max="5620" width="12.875" customWidth="1"/>
    <col min="5624" max="5624" width="15.25" customWidth="1"/>
    <col min="5626" max="5626" width="14" customWidth="1"/>
    <col min="5630" max="5630" width="14.625" customWidth="1"/>
    <col min="5632" max="5632" width="12.75" customWidth="1"/>
    <col min="5636" max="5636" width="16.625" customWidth="1"/>
    <col min="5638" max="5638" width="12.375" customWidth="1"/>
    <col min="5640" max="5640" width="13.25" customWidth="1"/>
    <col min="5641" max="5641" width="11.75" customWidth="1"/>
    <col min="5642" max="5642" width="14.125" customWidth="1"/>
    <col min="5871" max="5871" width="13.125" customWidth="1"/>
    <col min="5874" max="5874" width="15.375" customWidth="1"/>
    <col min="5876" max="5876" width="12.875" customWidth="1"/>
    <col min="5880" max="5880" width="15.25" customWidth="1"/>
    <col min="5882" max="5882" width="14" customWidth="1"/>
    <col min="5886" max="5886" width="14.625" customWidth="1"/>
    <col min="5888" max="5888" width="12.75" customWidth="1"/>
    <col min="5892" max="5892" width="16.625" customWidth="1"/>
    <col min="5894" max="5894" width="12.375" customWidth="1"/>
    <col min="5896" max="5896" width="13.25" customWidth="1"/>
    <col min="5897" max="5897" width="11.75" customWidth="1"/>
    <col min="5898" max="5898" width="14.125" customWidth="1"/>
    <col min="6127" max="6127" width="13.125" customWidth="1"/>
    <col min="6130" max="6130" width="15.375" customWidth="1"/>
    <col min="6132" max="6132" width="12.875" customWidth="1"/>
    <col min="6136" max="6136" width="15.25" customWidth="1"/>
    <col min="6138" max="6138" width="14" customWidth="1"/>
    <col min="6142" max="6142" width="14.625" customWidth="1"/>
    <col min="6144" max="6144" width="12.75" customWidth="1"/>
    <col min="6148" max="6148" width="16.625" customWidth="1"/>
    <col min="6150" max="6150" width="12.375" customWidth="1"/>
    <col min="6152" max="6152" width="13.25" customWidth="1"/>
    <col min="6153" max="6153" width="11.75" customWidth="1"/>
    <col min="6154" max="6154" width="14.125" customWidth="1"/>
    <col min="6383" max="6383" width="13.125" customWidth="1"/>
    <col min="6386" max="6386" width="15.375" customWidth="1"/>
    <col min="6388" max="6388" width="12.875" customWidth="1"/>
    <col min="6392" max="6392" width="15.25" customWidth="1"/>
    <col min="6394" max="6394" width="14" customWidth="1"/>
    <col min="6398" max="6398" width="14.625" customWidth="1"/>
    <col min="6400" max="6400" width="12.75" customWidth="1"/>
    <col min="6404" max="6404" width="16.625" customWidth="1"/>
    <col min="6406" max="6406" width="12.375" customWidth="1"/>
    <col min="6408" max="6408" width="13.25" customWidth="1"/>
    <col min="6409" max="6409" width="11.75" customWidth="1"/>
    <col min="6410" max="6410" width="14.125" customWidth="1"/>
    <col min="6639" max="6639" width="13.125" customWidth="1"/>
    <col min="6642" max="6642" width="15.375" customWidth="1"/>
    <col min="6644" max="6644" width="12.875" customWidth="1"/>
    <col min="6648" max="6648" width="15.25" customWidth="1"/>
    <col min="6650" max="6650" width="14" customWidth="1"/>
    <col min="6654" max="6654" width="14.625" customWidth="1"/>
    <col min="6656" max="6656" width="12.75" customWidth="1"/>
    <col min="6660" max="6660" width="16.625" customWidth="1"/>
    <col min="6662" max="6662" width="12.375" customWidth="1"/>
    <col min="6664" max="6664" width="13.25" customWidth="1"/>
    <col min="6665" max="6665" width="11.75" customWidth="1"/>
    <col min="6666" max="6666" width="14.125" customWidth="1"/>
    <col min="6895" max="6895" width="13.125" customWidth="1"/>
    <col min="6898" max="6898" width="15.375" customWidth="1"/>
    <col min="6900" max="6900" width="12.875" customWidth="1"/>
    <col min="6904" max="6904" width="15.25" customWidth="1"/>
    <col min="6906" max="6906" width="14" customWidth="1"/>
    <col min="6910" max="6910" width="14.625" customWidth="1"/>
    <col min="6912" max="6912" width="12.75" customWidth="1"/>
    <col min="6916" max="6916" width="16.625" customWidth="1"/>
    <col min="6918" max="6918" width="12.375" customWidth="1"/>
    <col min="6920" max="6920" width="13.25" customWidth="1"/>
    <col min="6921" max="6921" width="11.75" customWidth="1"/>
    <col min="6922" max="6922" width="14.125" customWidth="1"/>
    <col min="7151" max="7151" width="13.125" customWidth="1"/>
    <col min="7154" max="7154" width="15.375" customWidth="1"/>
    <col min="7156" max="7156" width="12.875" customWidth="1"/>
    <col min="7160" max="7160" width="15.25" customWidth="1"/>
    <col min="7162" max="7162" width="14" customWidth="1"/>
    <col min="7166" max="7166" width="14.625" customWidth="1"/>
    <col min="7168" max="7168" width="12.75" customWidth="1"/>
    <col min="7172" max="7172" width="16.625" customWidth="1"/>
    <col min="7174" max="7174" width="12.375" customWidth="1"/>
    <col min="7176" max="7176" width="13.25" customWidth="1"/>
    <col min="7177" max="7177" width="11.75" customWidth="1"/>
    <col min="7178" max="7178" width="14.125" customWidth="1"/>
    <col min="7407" max="7407" width="13.125" customWidth="1"/>
    <col min="7410" max="7410" width="15.375" customWidth="1"/>
    <col min="7412" max="7412" width="12.875" customWidth="1"/>
    <col min="7416" max="7416" width="15.25" customWidth="1"/>
    <col min="7418" max="7418" width="14" customWidth="1"/>
    <col min="7422" max="7422" width="14.625" customWidth="1"/>
    <col min="7424" max="7424" width="12.75" customWidth="1"/>
    <col min="7428" max="7428" width="16.625" customWidth="1"/>
    <col min="7430" max="7430" width="12.375" customWidth="1"/>
    <col min="7432" max="7432" width="13.25" customWidth="1"/>
    <col min="7433" max="7433" width="11.75" customWidth="1"/>
    <col min="7434" max="7434" width="14.125" customWidth="1"/>
    <col min="7663" max="7663" width="13.125" customWidth="1"/>
    <col min="7666" max="7666" width="15.375" customWidth="1"/>
    <col min="7668" max="7668" width="12.875" customWidth="1"/>
    <col min="7672" max="7672" width="15.25" customWidth="1"/>
    <col min="7674" max="7674" width="14" customWidth="1"/>
    <col min="7678" max="7678" width="14.625" customWidth="1"/>
    <col min="7680" max="7680" width="12.75" customWidth="1"/>
    <col min="7684" max="7684" width="16.625" customWidth="1"/>
    <col min="7686" max="7686" width="12.375" customWidth="1"/>
    <col min="7688" max="7688" width="13.25" customWidth="1"/>
    <col min="7689" max="7689" width="11.75" customWidth="1"/>
    <col min="7690" max="7690" width="14.125" customWidth="1"/>
    <col min="7919" max="7919" width="13.125" customWidth="1"/>
    <col min="7922" max="7922" width="15.375" customWidth="1"/>
    <col min="7924" max="7924" width="12.875" customWidth="1"/>
    <col min="7928" max="7928" width="15.25" customWidth="1"/>
    <col min="7930" max="7930" width="14" customWidth="1"/>
    <col min="7934" max="7934" width="14.625" customWidth="1"/>
    <col min="7936" max="7936" width="12.75" customWidth="1"/>
    <col min="7940" max="7940" width="16.625" customWidth="1"/>
    <col min="7942" max="7942" width="12.375" customWidth="1"/>
    <col min="7944" max="7944" width="13.25" customWidth="1"/>
    <col min="7945" max="7945" width="11.75" customWidth="1"/>
    <col min="7946" max="7946" width="14.125" customWidth="1"/>
    <col min="8175" max="8175" width="13.125" customWidth="1"/>
    <col min="8178" max="8178" width="15.375" customWidth="1"/>
    <col min="8180" max="8180" width="12.875" customWidth="1"/>
    <col min="8184" max="8184" width="15.25" customWidth="1"/>
    <col min="8186" max="8186" width="14" customWidth="1"/>
    <col min="8190" max="8190" width="14.625" customWidth="1"/>
    <col min="8192" max="8192" width="12.75" customWidth="1"/>
    <col min="8196" max="8196" width="16.625" customWidth="1"/>
    <col min="8198" max="8198" width="12.375" customWidth="1"/>
    <col min="8200" max="8200" width="13.25" customWidth="1"/>
    <col min="8201" max="8201" width="11.75" customWidth="1"/>
    <col min="8202" max="8202" width="14.125" customWidth="1"/>
    <col min="8431" max="8431" width="13.125" customWidth="1"/>
    <col min="8434" max="8434" width="15.375" customWidth="1"/>
    <col min="8436" max="8436" width="12.875" customWidth="1"/>
    <col min="8440" max="8440" width="15.25" customWidth="1"/>
    <col min="8442" max="8442" width="14" customWidth="1"/>
    <col min="8446" max="8446" width="14.625" customWidth="1"/>
    <col min="8448" max="8448" width="12.75" customWidth="1"/>
    <col min="8452" max="8452" width="16.625" customWidth="1"/>
    <col min="8454" max="8454" width="12.375" customWidth="1"/>
    <col min="8456" max="8456" width="13.25" customWidth="1"/>
    <col min="8457" max="8457" width="11.75" customWidth="1"/>
    <col min="8458" max="8458" width="14.125" customWidth="1"/>
    <col min="8687" max="8687" width="13.125" customWidth="1"/>
    <col min="8690" max="8690" width="15.375" customWidth="1"/>
    <col min="8692" max="8692" width="12.875" customWidth="1"/>
    <col min="8696" max="8696" width="15.25" customWidth="1"/>
    <col min="8698" max="8698" width="14" customWidth="1"/>
    <col min="8702" max="8702" width="14.625" customWidth="1"/>
    <col min="8704" max="8704" width="12.75" customWidth="1"/>
    <col min="8708" max="8708" width="16.625" customWidth="1"/>
    <col min="8710" max="8710" width="12.375" customWidth="1"/>
    <col min="8712" max="8712" width="13.25" customWidth="1"/>
    <col min="8713" max="8713" width="11.75" customWidth="1"/>
    <col min="8714" max="8714" width="14.125" customWidth="1"/>
    <col min="8943" max="8943" width="13.125" customWidth="1"/>
    <col min="8946" max="8946" width="15.375" customWidth="1"/>
    <col min="8948" max="8948" width="12.875" customWidth="1"/>
    <col min="8952" max="8952" width="15.25" customWidth="1"/>
    <col min="8954" max="8954" width="14" customWidth="1"/>
    <col min="8958" max="8958" width="14.625" customWidth="1"/>
    <col min="8960" max="8960" width="12.75" customWidth="1"/>
    <col min="8964" max="8964" width="16.625" customWidth="1"/>
    <col min="8966" max="8966" width="12.375" customWidth="1"/>
    <col min="8968" max="8968" width="13.25" customWidth="1"/>
    <col min="8969" max="8969" width="11.75" customWidth="1"/>
    <col min="8970" max="8970" width="14.125" customWidth="1"/>
    <col min="9199" max="9199" width="13.125" customWidth="1"/>
    <col min="9202" max="9202" width="15.375" customWidth="1"/>
    <col min="9204" max="9204" width="12.875" customWidth="1"/>
    <col min="9208" max="9208" width="15.25" customWidth="1"/>
    <col min="9210" max="9210" width="14" customWidth="1"/>
    <col min="9214" max="9214" width="14.625" customWidth="1"/>
    <col min="9216" max="9216" width="12.75" customWidth="1"/>
    <col min="9220" max="9220" width="16.625" customWidth="1"/>
    <col min="9222" max="9222" width="12.375" customWidth="1"/>
    <col min="9224" max="9224" width="13.25" customWidth="1"/>
    <col min="9225" max="9225" width="11.75" customWidth="1"/>
    <col min="9226" max="9226" width="14.125" customWidth="1"/>
    <col min="9455" max="9455" width="13.125" customWidth="1"/>
    <col min="9458" max="9458" width="15.375" customWidth="1"/>
    <col min="9460" max="9460" width="12.875" customWidth="1"/>
    <col min="9464" max="9464" width="15.25" customWidth="1"/>
    <col min="9466" max="9466" width="14" customWidth="1"/>
    <col min="9470" max="9470" width="14.625" customWidth="1"/>
    <col min="9472" max="9472" width="12.75" customWidth="1"/>
    <col min="9476" max="9476" width="16.625" customWidth="1"/>
    <col min="9478" max="9478" width="12.375" customWidth="1"/>
    <col min="9480" max="9480" width="13.25" customWidth="1"/>
    <col min="9481" max="9481" width="11.75" customWidth="1"/>
    <col min="9482" max="9482" width="14.125" customWidth="1"/>
    <col min="9711" max="9711" width="13.125" customWidth="1"/>
    <col min="9714" max="9714" width="15.375" customWidth="1"/>
    <col min="9716" max="9716" width="12.875" customWidth="1"/>
    <col min="9720" max="9720" width="15.25" customWidth="1"/>
    <col min="9722" max="9722" width="14" customWidth="1"/>
    <col min="9726" max="9726" width="14.625" customWidth="1"/>
    <col min="9728" max="9728" width="12.75" customWidth="1"/>
    <col min="9732" max="9732" width="16.625" customWidth="1"/>
    <col min="9734" max="9734" width="12.375" customWidth="1"/>
    <col min="9736" max="9736" width="13.25" customWidth="1"/>
    <col min="9737" max="9737" width="11.75" customWidth="1"/>
    <col min="9738" max="9738" width="14.125" customWidth="1"/>
    <col min="9967" max="9967" width="13.125" customWidth="1"/>
    <col min="9970" max="9970" width="15.375" customWidth="1"/>
    <col min="9972" max="9972" width="12.875" customWidth="1"/>
    <col min="9976" max="9976" width="15.25" customWidth="1"/>
    <col min="9978" max="9978" width="14" customWidth="1"/>
    <col min="9982" max="9982" width="14.625" customWidth="1"/>
    <col min="9984" max="9984" width="12.75" customWidth="1"/>
    <col min="9988" max="9988" width="16.625" customWidth="1"/>
    <col min="9990" max="9990" width="12.375" customWidth="1"/>
    <col min="9992" max="9992" width="13.25" customWidth="1"/>
    <col min="9993" max="9993" width="11.75" customWidth="1"/>
    <col min="9994" max="9994" width="14.125" customWidth="1"/>
    <col min="10223" max="10223" width="13.125" customWidth="1"/>
    <col min="10226" max="10226" width="15.375" customWidth="1"/>
    <col min="10228" max="10228" width="12.875" customWidth="1"/>
    <col min="10232" max="10232" width="15.25" customWidth="1"/>
    <col min="10234" max="10234" width="14" customWidth="1"/>
    <col min="10238" max="10238" width="14.625" customWidth="1"/>
    <col min="10240" max="10240" width="12.75" customWidth="1"/>
    <col min="10244" max="10244" width="16.625" customWidth="1"/>
    <col min="10246" max="10246" width="12.375" customWidth="1"/>
    <col min="10248" max="10248" width="13.25" customWidth="1"/>
    <col min="10249" max="10249" width="11.75" customWidth="1"/>
    <col min="10250" max="10250" width="14.125" customWidth="1"/>
    <col min="10479" max="10479" width="13.125" customWidth="1"/>
    <col min="10482" max="10482" width="15.375" customWidth="1"/>
    <col min="10484" max="10484" width="12.875" customWidth="1"/>
    <col min="10488" max="10488" width="15.25" customWidth="1"/>
    <col min="10490" max="10490" width="14" customWidth="1"/>
    <col min="10494" max="10494" width="14.625" customWidth="1"/>
    <col min="10496" max="10496" width="12.75" customWidth="1"/>
    <col min="10500" max="10500" width="16.625" customWidth="1"/>
    <col min="10502" max="10502" width="12.375" customWidth="1"/>
    <col min="10504" max="10504" width="13.25" customWidth="1"/>
    <col min="10505" max="10505" width="11.75" customWidth="1"/>
    <col min="10506" max="10506" width="14.125" customWidth="1"/>
    <col min="10735" max="10735" width="13.125" customWidth="1"/>
    <col min="10738" max="10738" width="15.375" customWidth="1"/>
    <col min="10740" max="10740" width="12.875" customWidth="1"/>
    <col min="10744" max="10744" width="15.25" customWidth="1"/>
    <col min="10746" max="10746" width="14" customWidth="1"/>
    <col min="10750" max="10750" width="14.625" customWidth="1"/>
    <col min="10752" max="10752" width="12.75" customWidth="1"/>
    <col min="10756" max="10756" width="16.625" customWidth="1"/>
    <col min="10758" max="10758" width="12.375" customWidth="1"/>
    <col min="10760" max="10760" width="13.25" customWidth="1"/>
    <col min="10761" max="10761" width="11.75" customWidth="1"/>
    <col min="10762" max="10762" width="14.125" customWidth="1"/>
    <col min="10991" max="10991" width="13.125" customWidth="1"/>
    <col min="10994" max="10994" width="15.375" customWidth="1"/>
    <col min="10996" max="10996" width="12.875" customWidth="1"/>
    <col min="11000" max="11000" width="15.25" customWidth="1"/>
    <col min="11002" max="11002" width="14" customWidth="1"/>
    <col min="11006" max="11006" width="14.625" customWidth="1"/>
    <col min="11008" max="11008" width="12.75" customWidth="1"/>
    <col min="11012" max="11012" width="16.625" customWidth="1"/>
    <col min="11014" max="11014" width="12.375" customWidth="1"/>
    <col min="11016" max="11016" width="13.25" customWidth="1"/>
    <col min="11017" max="11017" width="11.75" customWidth="1"/>
    <col min="11018" max="11018" width="14.125" customWidth="1"/>
    <col min="11247" max="11247" width="13.125" customWidth="1"/>
    <col min="11250" max="11250" width="15.375" customWidth="1"/>
    <col min="11252" max="11252" width="12.875" customWidth="1"/>
    <col min="11256" max="11256" width="15.25" customWidth="1"/>
    <col min="11258" max="11258" width="14" customWidth="1"/>
    <col min="11262" max="11262" width="14.625" customWidth="1"/>
    <col min="11264" max="11264" width="12.75" customWidth="1"/>
    <col min="11268" max="11268" width="16.625" customWidth="1"/>
    <col min="11270" max="11270" width="12.375" customWidth="1"/>
    <col min="11272" max="11272" width="13.25" customWidth="1"/>
    <col min="11273" max="11273" width="11.75" customWidth="1"/>
    <col min="11274" max="11274" width="14.125" customWidth="1"/>
    <col min="11503" max="11503" width="13.125" customWidth="1"/>
    <col min="11506" max="11506" width="15.375" customWidth="1"/>
    <col min="11508" max="11508" width="12.875" customWidth="1"/>
    <col min="11512" max="11512" width="15.25" customWidth="1"/>
    <col min="11514" max="11514" width="14" customWidth="1"/>
    <col min="11518" max="11518" width="14.625" customWidth="1"/>
    <col min="11520" max="11520" width="12.75" customWidth="1"/>
    <col min="11524" max="11524" width="16.625" customWidth="1"/>
    <col min="11526" max="11526" width="12.375" customWidth="1"/>
    <col min="11528" max="11528" width="13.25" customWidth="1"/>
    <col min="11529" max="11529" width="11.75" customWidth="1"/>
    <col min="11530" max="11530" width="14.125" customWidth="1"/>
    <col min="11759" max="11759" width="13.125" customWidth="1"/>
    <col min="11762" max="11762" width="15.375" customWidth="1"/>
    <col min="11764" max="11764" width="12.875" customWidth="1"/>
    <col min="11768" max="11768" width="15.25" customWidth="1"/>
    <col min="11770" max="11770" width="14" customWidth="1"/>
    <col min="11774" max="11774" width="14.625" customWidth="1"/>
    <col min="11776" max="11776" width="12.75" customWidth="1"/>
    <col min="11780" max="11780" width="16.625" customWidth="1"/>
    <col min="11782" max="11782" width="12.375" customWidth="1"/>
    <col min="11784" max="11784" width="13.25" customWidth="1"/>
    <col min="11785" max="11785" width="11.75" customWidth="1"/>
    <col min="11786" max="11786" width="14.125" customWidth="1"/>
    <col min="12015" max="12015" width="13.125" customWidth="1"/>
    <col min="12018" max="12018" width="15.375" customWidth="1"/>
    <col min="12020" max="12020" width="12.875" customWidth="1"/>
    <col min="12024" max="12024" width="15.25" customWidth="1"/>
    <col min="12026" max="12026" width="14" customWidth="1"/>
    <col min="12030" max="12030" width="14.625" customWidth="1"/>
    <col min="12032" max="12032" width="12.75" customWidth="1"/>
    <col min="12036" max="12036" width="16.625" customWidth="1"/>
    <col min="12038" max="12038" width="12.375" customWidth="1"/>
    <col min="12040" max="12040" width="13.25" customWidth="1"/>
    <col min="12041" max="12041" width="11.75" customWidth="1"/>
    <col min="12042" max="12042" width="14.125" customWidth="1"/>
    <col min="12271" max="12271" width="13.125" customWidth="1"/>
    <col min="12274" max="12274" width="15.375" customWidth="1"/>
    <col min="12276" max="12276" width="12.875" customWidth="1"/>
    <col min="12280" max="12280" width="15.25" customWidth="1"/>
    <col min="12282" max="12282" width="14" customWidth="1"/>
    <col min="12286" max="12286" width="14.625" customWidth="1"/>
    <col min="12288" max="12288" width="12.75" customWidth="1"/>
    <col min="12292" max="12292" width="16.625" customWidth="1"/>
    <col min="12294" max="12294" width="12.375" customWidth="1"/>
    <col min="12296" max="12296" width="13.25" customWidth="1"/>
    <col min="12297" max="12297" width="11.75" customWidth="1"/>
    <col min="12298" max="12298" width="14.125" customWidth="1"/>
    <col min="12527" max="12527" width="13.125" customWidth="1"/>
    <col min="12530" max="12530" width="15.375" customWidth="1"/>
    <col min="12532" max="12532" width="12.875" customWidth="1"/>
    <col min="12536" max="12536" width="15.25" customWidth="1"/>
    <col min="12538" max="12538" width="14" customWidth="1"/>
    <col min="12542" max="12542" width="14.625" customWidth="1"/>
    <col min="12544" max="12544" width="12.75" customWidth="1"/>
    <col min="12548" max="12548" width="16.625" customWidth="1"/>
    <col min="12550" max="12550" width="12.375" customWidth="1"/>
    <col min="12552" max="12552" width="13.25" customWidth="1"/>
    <col min="12553" max="12553" width="11.75" customWidth="1"/>
    <col min="12554" max="12554" width="14.125" customWidth="1"/>
    <col min="12783" max="12783" width="13.125" customWidth="1"/>
    <col min="12786" max="12786" width="15.375" customWidth="1"/>
    <col min="12788" max="12788" width="12.875" customWidth="1"/>
    <col min="12792" max="12792" width="15.25" customWidth="1"/>
    <col min="12794" max="12794" width="14" customWidth="1"/>
    <col min="12798" max="12798" width="14.625" customWidth="1"/>
    <col min="12800" max="12800" width="12.75" customWidth="1"/>
    <col min="12804" max="12804" width="16.625" customWidth="1"/>
    <col min="12806" max="12806" width="12.375" customWidth="1"/>
    <col min="12808" max="12808" width="13.25" customWidth="1"/>
    <col min="12809" max="12809" width="11.75" customWidth="1"/>
    <col min="12810" max="12810" width="14.125" customWidth="1"/>
    <col min="13039" max="13039" width="13.125" customWidth="1"/>
    <col min="13042" max="13042" width="15.375" customWidth="1"/>
    <col min="13044" max="13044" width="12.875" customWidth="1"/>
    <col min="13048" max="13048" width="15.25" customWidth="1"/>
    <col min="13050" max="13050" width="14" customWidth="1"/>
    <col min="13054" max="13054" width="14.625" customWidth="1"/>
    <col min="13056" max="13056" width="12.75" customWidth="1"/>
    <col min="13060" max="13060" width="16.625" customWidth="1"/>
    <col min="13062" max="13062" width="12.375" customWidth="1"/>
    <col min="13064" max="13064" width="13.25" customWidth="1"/>
    <col min="13065" max="13065" width="11.75" customWidth="1"/>
    <col min="13066" max="13066" width="14.125" customWidth="1"/>
    <col min="13295" max="13295" width="13.125" customWidth="1"/>
    <col min="13298" max="13298" width="15.375" customWidth="1"/>
    <col min="13300" max="13300" width="12.875" customWidth="1"/>
    <col min="13304" max="13304" width="15.25" customWidth="1"/>
    <col min="13306" max="13306" width="14" customWidth="1"/>
    <col min="13310" max="13310" width="14.625" customWidth="1"/>
    <col min="13312" max="13312" width="12.75" customWidth="1"/>
    <col min="13316" max="13316" width="16.625" customWidth="1"/>
    <col min="13318" max="13318" width="12.375" customWidth="1"/>
    <col min="13320" max="13320" width="13.25" customWidth="1"/>
    <col min="13321" max="13321" width="11.75" customWidth="1"/>
    <col min="13322" max="13322" width="14.125" customWidth="1"/>
    <col min="13551" max="13551" width="13.125" customWidth="1"/>
    <col min="13554" max="13554" width="15.375" customWidth="1"/>
    <col min="13556" max="13556" width="12.875" customWidth="1"/>
    <col min="13560" max="13560" width="15.25" customWidth="1"/>
    <col min="13562" max="13562" width="14" customWidth="1"/>
    <col min="13566" max="13566" width="14.625" customWidth="1"/>
    <col min="13568" max="13568" width="12.75" customWidth="1"/>
    <col min="13572" max="13572" width="16.625" customWidth="1"/>
    <col min="13574" max="13574" width="12.375" customWidth="1"/>
    <col min="13576" max="13576" width="13.25" customWidth="1"/>
    <col min="13577" max="13577" width="11.75" customWidth="1"/>
    <col min="13578" max="13578" width="14.125" customWidth="1"/>
    <col min="13807" max="13807" width="13.125" customWidth="1"/>
    <col min="13810" max="13810" width="15.375" customWidth="1"/>
    <col min="13812" max="13812" width="12.875" customWidth="1"/>
    <col min="13816" max="13816" width="15.25" customWidth="1"/>
    <col min="13818" max="13818" width="14" customWidth="1"/>
    <col min="13822" max="13822" width="14.625" customWidth="1"/>
    <col min="13824" max="13824" width="12.75" customWidth="1"/>
    <col min="13828" max="13828" width="16.625" customWidth="1"/>
    <col min="13830" max="13830" width="12.375" customWidth="1"/>
    <col min="13832" max="13832" width="13.25" customWidth="1"/>
    <col min="13833" max="13833" width="11.75" customWidth="1"/>
    <col min="13834" max="13834" width="14.125" customWidth="1"/>
    <col min="14063" max="14063" width="13.125" customWidth="1"/>
    <col min="14066" max="14066" width="15.375" customWidth="1"/>
    <col min="14068" max="14068" width="12.875" customWidth="1"/>
    <col min="14072" max="14072" width="15.25" customWidth="1"/>
    <col min="14074" max="14074" width="14" customWidth="1"/>
    <col min="14078" max="14078" width="14.625" customWidth="1"/>
    <col min="14080" max="14080" width="12.75" customWidth="1"/>
    <col min="14084" max="14084" width="16.625" customWidth="1"/>
    <col min="14086" max="14086" width="12.375" customWidth="1"/>
    <col min="14088" max="14088" width="13.25" customWidth="1"/>
    <col min="14089" max="14089" width="11.75" customWidth="1"/>
    <col min="14090" max="14090" width="14.125" customWidth="1"/>
    <col min="14319" max="14319" width="13.125" customWidth="1"/>
    <col min="14322" max="14322" width="15.375" customWidth="1"/>
    <col min="14324" max="14324" width="12.875" customWidth="1"/>
    <col min="14328" max="14328" width="15.25" customWidth="1"/>
    <col min="14330" max="14330" width="14" customWidth="1"/>
    <col min="14334" max="14334" width="14.625" customWidth="1"/>
    <col min="14336" max="14336" width="12.75" customWidth="1"/>
    <col min="14340" max="14340" width="16.625" customWidth="1"/>
    <col min="14342" max="14342" width="12.375" customWidth="1"/>
    <col min="14344" max="14344" width="13.25" customWidth="1"/>
    <col min="14345" max="14345" width="11.75" customWidth="1"/>
    <col min="14346" max="14346" width="14.125" customWidth="1"/>
    <col min="14575" max="14575" width="13.125" customWidth="1"/>
    <col min="14578" max="14578" width="15.375" customWidth="1"/>
    <col min="14580" max="14580" width="12.875" customWidth="1"/>
    <col min="14584" max="14584" width="15.25" customWidth="1"/>
    <col min="14586" max="14586" width="14" customWidth="1"/>
    <col min="14590" max="14590" width="14.625" customWidth="1"/>
    <col min="14592" max="14592" width="12.75" customWidth="1"/>
    <col min="14596" max="14596" width="16.625" customWidth="1"/>
    <col min="14598" max="14598" width="12.375" customWidth="1"/>
    <col min="14600" max="14600" width="13.25" customWidth="1"/>
    <col min="14601" max="14601" width="11.75" customWidth="1"/>
    <col min="14602" max="14602" width="14.125" customWidth="1"/>
    <col min="14831" max="14831" width="13.125" customWidth="1"/>
    <col min="14834" max="14834" width="15.375" customWidth="1"/>
    <col min="14836" max="14836" width="12.875" customWidth="1"/>
    <col min="14840" max="14840" width="15.25" customWidth="1"/>
    <col min="14842" max="14842" width="14" customWidth="1"/>
    <col min="14846" max="14846" width="14.625" customWidth="1"/>
    <col min="14848" max="14848" width="12.75" customWidth="1"/>
    <col min="14852" max="14852" width="16.625" customWidth="1"/>
    <col min="14854" max="14854" width="12.375" customWidth="1"/>
    <col min="14856" max="14856" width="13.25" customWidth="1"/>
    <col min="14857" max="14857" width="11.75" customWidth="1"/>
    <col min="14858" max="14858" width="14.125" customWidth="1"/>
    <col min="15087" max="15087" width="13.125" customWidth="1"/>
    <col min="15090" max="15090" width="15.375" customWidth="1"/>
    <col min="15092" max="15092" width="12.875" customWidth="1"/>
    <col min="15096" max="15096" width="15.25" customWidth="1"/>
    <col min="15098" max="15098" width="14" customWidth="1"/>
    <col min="15102" max="15102" width="14.625" customWidth="1"/>
    <col min="15104" max="15104" width="12.75" customWidth="1"/>
    <col min="15108" max="15108" width="16.625" customWidth="1"/>
    <col min="15110" max="15110" width="12.375" customWidth="1"/>
    <col min="15112" max="15112" width="13.25" customWidth="1"/>
    <col min="15113" max="15113" width="11.75" customWidth="1"/>
    <col min="15114" max="15114" width="14.125" customWidth="1"/>
    <col min="15343" max="15343" width="13.125" customWidth="1"/>
    <col min="15346" max="15346" width="15.375" customWidth="1"/>
    <col min="15348" max="15348" width="12.875" customWidth="1"/>
    <col min="15352" max="15352" width="15.25" customWidth="1"/>
    <col min="15354" max="15354" width="14" customWidth="1"/>
    <col min="15358" max="15358" width="14.625" customWidth="1"/>
    <col min="15360" max="15360" width="12.75" customWidth="1"/>
    <col min="15364" max="15364" width="16.625" customWidth="1"/>
    <col min="15366" max="15366" width="12.375" customWidth="1"/>
    <col min="15368" max="15368" width="13.25" customWidth="1"/>
    <col min="15369" max="15369" width="11.75" customWidth="1"/>
    <col min="15370" max="15370" width="14.125" customWidth="1"/>
    <col min="15599" max="15599" width="13.125" customWidth="1"/>
    <col min="15602" max="15602" width="15.375" customWidth="1"/>
    <col min="15604" max="15604" width="12.875" customWidth="1"/>
    <col min="15608" max="15608" width="15.25" customWidth="1"/>
    <col min="15610" max="15610" width="14" customWidth="1"/>
    <col min="15614" max="15614" width="14.625" customWidth="1"/>
    <col min="15616" max="15616" width="12.75" customWidth="1"/>
    <col min="15620" max="15620" width="16.625" customWidth="1"/>
    <col min="15622" max="15622" width="12.375" customWidth="1"/>
    <col min="15624" max="15624" width="13.25" customWidth="1"/>
    <col min="15625" max="15625" width="11.75" customWidth="1"/>
    <col min="15626" max="15626" width="14.125" customWidth="1"/>
    <col min="15855" max="15855" width="13.125" customWidth="1"/>
    <col min="15858" max="15858" width="15.375" customWidth="1"/>
    <col min="15860" max="15860" width="12.875" customWidth="1"/>
    <col min="15864" max="15864" width="15.25" customWidth="1"/>
    <col min="15866" max="15866" width="14" customWidth="1"/>
    <col min="15870" max="15870" width="14.625" customWidth="1"/>
    <col min="15872" max="15872" width="12.75" customWidth="1"/>
    <col min="15876" max="15876" width="16.625" customWidth="1"/>
    <col min="15878" max="15878" width="12.375" customWidth="1"/>
    <col min="15880" max="15880" width="13.25" customWidth="1"/>
    <col min="15881" max="15881" width="11.75" customWidth="1"/>
    <col min="15882" max="15882" width="14.125" customWidth="1"/>
    <col min="16111" max="16111" width="13.125" customWidth="1"/>
    <col min="16114" max="16114" width="15.375" customWidth="1"/>
    <col min="16116" max="16116" width="12.875" customWidth="1"/>
    <col min="16120" max="16120" width="15.25" customWidth="1"/>
    <col min="16122" max="16122" width="14" customWidth="1"/>
    <col min="16126" max="16126" width="14.625" customWidth="1"/>
    <col min="16128" max="16128" width="12.75" customWidth="1"/>
    <col min="16132" max="16132" width="16.625" customWidth="1"/>
    <col min="16134" max="16134" width="12.375" customWidth="1"/>
    <col min="16136" max="16136" width="13.25" customWidth="1"/>
    <col min="16137" max="16137" width="11.75" customWidth="1"/>
    <col min="16138" max="16138" width="14.125" customWidth="1"/>
  </cols>
  <sheetData>
    <row r="1" spans="1:10">
      <c r="B1" s="53" t="s">
        <v>93</v>
      </c>
      <c r="C1" s="76" t="str">
        <f>CourseList!B6</f>
        <v>ENG-211</v>
      </c>
      <c r="D1" s="76"/>
      <c r="E1" s="76" t="str">
        <f>CourseList!B7</f>
        <v>ENG-213</v>
      </c>
      <c r="F1" s="76"/>
      <c r="G1" s="76" t="str">
        <f>CourseList!B8</f>
        <v>ENG-215</v>
      </c>
      <c r="H1" s="76"/>
      <c r="I1" s="76" t="str">
        <f>CourseList!B9</f>
        <v>ENG-217</v>
      </c>
      <c r="J1" s="76"/>
    </row>
    <row r="2" spans="1:10">
      <c r="B2" s="53" t="s">
        <v>96</v>
      </c>
      <c r="C2" s="76">
        <f>CourseList!E6</f>
        <v>4</v>
      </c>
      <c r="D2" s="76"/>
      <c r="E2" s="76">
        <f>CourseList!E7</f>
        <v>3</v>
      </c>
      <c r="F2" s="76"/>
      <c r="G2" s="76">
        <f>CourseList!E8</f>
        <v>4</v>
      </c>
      <c r="H2" s="76"/>
      <c r="I2" s="76">
        <f>CourseList!E9</f>
        <v>2</v>
      </c>
      <c r="J2" s="76"/>
    </row>
    <row r="3" spans="1:10" ht="14.25">
      <c r="A3" s="50" t="s">
        <v>121</v>
      </c>
      <c r="B3" s="52" t="str" cm="1">
        <f t="array" ref="B3:B33">StudentList!B1:B31</f>
        <v>Student ID</v>
      </c>
      <c r="C3" s="50" t="s">
        <v>100</v>
      </c>
      <c r="D3" s="50" t="s">
        <v>105</v>
      </c>
      <c r="E3" s="50" t="s">
        <v>100</v>
      </c>
      <c r="F3" s="50" t="s">
        <v>105</v>
      </c>
      <c r="G3" s="50" t="s">
        <v>100</v>
      </c>
      <c r="H3" s="50" t="s">
        <v>105</v>
      </c>
      <c r="I3" s="50" t="s">
        <v>100</v>
      </c>
      <c r="J3" s="50" t="s">
        <v>105</v>
      </c>
    </row>
    <row r="4" spans="1:10">
      <c r="A4" s="51">
        <v>1</v>
      </c>
      <c r="B4" s="51">
        <v>2011236001</v>
      </c>
      <c r="C4" s="51" t="str">
        <f>'2nd Semester'!H3</f>
        <v>A+</v>
      </c>
      <c r="D4" s="51">
        <f>'2nd Semester'!I3</f>
        <v>4</v>
      </c>
      <c r="E4" s="51" t="str">
        <f>'2nd Semester'!P3</f>
        <v>A+</v>
      </c>
      <c r="F4" s="51">
        <f>'2nd Semester'!Q3</f>
        <v>4</v>
      </c>
      <c r="G4" s="51" t="str">
        <f>'2nd Semester'!X3</f>
        <v>A+</v>
      </c>
      <c r="H4" s="51">
        <f>'2nd Semester'!Y3</f>
        <v>4</v>
      </c>
      <c r="I4" s="51" t="str">
        <f>'2nd Semester'!AF3</f>
        <v>A+</v>
      </c>
      <c r="J4" s="51">
        <f>'2nd Semester'!AG3</f>
        <v>4</v>
      </c>
    </row>
    <row r="5" spans="1:10">
      <c r="A5" s="51">
        <v>2</v>
      </c>
      <c r="B5" s="51">
        <v>2011236002</v>
      </c>
      <c r="C5" s="51" t="str">
        <f>'2nd Semester'!H4</f>
        <v>A+</v>
      </c>
      <c r="D5" s="51">
        <f>'2nd Semester'!I4</f>
        <v>4</v>
      </c>
      <c r="E5" s="51" t="str">
        <f>'2nd Semester'!P4</f>
        <v>B+</v>
      </c>
      <c r="F5" s="51">
        <f>'2nd Semester'!Q4</f>
        <v>3.25</v>
      </c>
      <c r="G5" s="51" t="str">
        <f>'2nd Semester'!X4</f>
        <v>A+</v>
      </c>
      <c r="H5" s="51">
        <f>'2nd Semester'!Y4</f>
        <v>4</v>
      </c>
      <c r="I5" s="51" t="str">
        <f>'2nd Semester'!AF4</f>
        <v>A-</v>
      </c>
      <c r="J5" s="51">
        <f>'2nd Semester'!AG4</f>
        <v>3.5</v>
      </c>
    </row>
    <row r="6" spans="1:10">
      <c r="A6" s="51">
        <v>3</v>
      </c>
      <c r="B6" s="51">
        <v>2011236003</v>
      </c>
      <c r="C6" s="51" t="str">
        <f>'2nd Semester'!H5</f>
        <v>A+</v>
      </c>
      <c r="D6" s="51">
        <f>'2nd Semester'!I5</f>
        <v>4</v>
      </c>
      <c r="E6" s="51" t="str">
        <f>'2nd Semester'!P5</f>
        <v>B</v>
      </c>
      <c r="F6" s="51">
        <f>'2nd Semester'!Q5</f>
        <v>3</v>
      </c>
      <c r="G6" s="51" t="str">
        <f>'2nd Semester'!X5</f>
        <v>A+</v>
      </c>
      <c r="H6" s="51">
        <f>'2nd Semester'!Y5</f>
        <v>4</v>
      </c>
      <c r="I6" s="51" t="str">
        <f>'2nd Semester'!AF5</f>
        <v>A</v>
      </c>
      <c r="J6" s="51">
        <f>'2nd Semester'!AG5</f>
        <v>3.75</v>
      </c>
    </row>
    <row r="7" spans="1:10">
      <c r="A7" s="51">
        <v>4</v>
      </c>
      <c r="B7" s="51">
        <v>2011236004</v>
      </c>
      <c r="C7" s="51" t="str">
        <f>'2nd Semester'!H6</f>
        <v>A+</v>
      </c>
      <c r="D7" s="51">
        <f>'2nd Semester'!I6</f>
        <v>4</v>
      </c>
      <c r="E7" s="51" t="str">
        <f>'2nd Semester'!P6</f>
        <v>A+</v>
      </c>
      <c r="F7" s="51">
        <f>'2nd Semester'!Q6</f>
        <v>4</v>
      </c>
      <c r="G7" s="51" t="str">
        <f>'2nd Semester'!X6</f>
        <v>B+</v>
      </c>
      <c r="H7" s="51">
        <f>'2nd Semester'!Y6</f>
        <v>3.25</v>
      </c>
      <c r="I7" s="51" t="str">
        <f>'2nd Semester'!AF6</f>
        <v>A+</v>
      </c>
      <c r="J7" s="51">
        <f>'2nd Semester'!AG6</f>
        <v>4</v>
      </c>
    </row>
    <row r="8" spans="1:10">
      <c r="A8" s="51">
        <v>5</v>
      </c>
      <c r="B8" s="51">
        <v>2011236005</v>
      </c>
      <c r="C8" s="51" t="str">
        <f>'2nd Semester'!H7</f>
        <v>A-</v>
      </c>
      <c r="D8" s="51">
        <f>'2nd Semester'!I7</f>
        <v>3.5</v>
      </c>
      <c r="E8" s="51" t="str">
        <f>'2nd Semester'!P7</f>
        <v>B+</v>
      </c>
      <c r="F8" s="51">
        <f>'2nd Semester'!Q7</f>
        <v>3.25</v>
      </c>
      <c r="G8" s="51" t="str">
        <f>'2nd Semester'!X7</f>
        <v>A+</v>
      </c>
      <c r="H8" s="51">
        <f>'2nd Semester'!Y7</f>
        <v>4</v>
      </c>
      <c r="I8" s="51" t="str">
        <f>'2nd Semester'!AF7</f>
        <v>A-</v>
      </c>
      <c r="J8" s="51">
        <f>'2nd Semester'!AG7</f>
        <v>3.5</v>
      </c>
    </row>
    <row r="9" spans="1:10">
      <c r="A9" s="51">
        <v>6</v>
      </c>
      <c r="B9" s="51">
        <v>2011236006</v>
      </c>
      <c r="C9" s="51" t="str">
        <f>'2nd Semester'!H8</f>
        <v>A-</v>
      </c>
      <c r="D9" s="51">
        <f>'2nd Semester'!I8</f>
        <v>3.5</v>
      </c>
      <c r="E9" s="51" t="str">
        <f>'2nd Semester'!P8</f>
        <v>A+</v>
      </c>
      <c r="F9" s="51">
        <f>'2nd Semester'!Q8</f>
        <v>4</v>
      </c>
      <c r="G9" s="51" t="str">
        <f>'2nd Semester'!X8</f>
        <v>A+</v>
      </c>
      <c r="H9" s="51">
        <f>'2nd Semester'!Y8</f>
        <v>4</v>
      </c>
      <c r="I9" s="51" t="str">
        <f>'2nd Semester'!AF8</f>
        <v>A+</v>
      </c>
      <c r="J9" s="51">
        <f>'2nd Semester'!AG8</f>
        <v>4</v>
      </c>
    </row>
    <row r="10" spans="1:10">
      <c r="A10" s="51">
        <v>7</v>
      </c>
      <c r="B10" s="51">
        <v>2011236007</v>
      </c>
      <c r="C10" s="51" t="str">
        <f>'2nd Semester'!H9</f>
        <v>A+</v>
      </c>
      <c r="D10" s="51">
        <f>'2nd Semester'!I9</f>
        <v>4</v>
      </c>
      <c r="E10" s="51" t="str">
        <f>'2nd Semester'!P9</f>
        <v>A+</v>
      </c>
      <c r="F10" s="51">
        <f>'2nd Semester'!Q9</f>
        <v>4</v>
      </c>
      <c r="G10" s="51" t="str">
        <f>'2nd Semester'!X9</f>
        <v>A</v>
      </c>
      <c r="H10" s="51">
        <f>'2nd Semester'!Y9</f>
        <v>3.75</v>
      </c>
      <c r="I10" s="51" t="str">
        <f>'2nd Semester'!AF9</f>
        <v>B+</v>
      </c>
      <c r="J10" s="51">
        <f>'2nd Semester'!AG9</f>
        <v>3.25</v>
      </c>
    </row>
    <row r="11" spans="1:10">
      <c r="A11" s="51">
        <v>8</v>
      </c>
      <c r="B11" s="51">
        <v>2011236008</v>
      </c>
      <c r="C11" s="51" t="str">
        <f>'2nd Semester'!H10</f>
        <v>A+</v>
      </c>
      <c r="D11" s="51">
        <f>'2nd Semester'!I10</f>
        <v>4</v>
      </c>
      <c r="E11" s="51" t="str">
        <f>'2nd Semester'!P10</f>
        <v>A-</v>
      </c>
      <c r="F11" s="51">
        <f>'2nd Semester'!Q10</f>
        <v>3.5</v>
      </c>
      <c r="G11" s="51" t="str">
        <f>'2nd Semester'!X10</f>
        <v>A+</v>
      </c>
      <c r="H11" s="51">
        <f>'2nd Semester'!Y10</f>
        <v>4</v>
      </c>
      <c r="I11" s="51" t="str">
        <f>'2nd Semester'!AF10</f>
        <v>B+</v>
      </c>
      <c r="J11" s="51">
        <f>'2nd Semester'!AG10</f>
        <v>3.25</v>
      </c>
    </row>
    <row r="12" spans="1:10">
      <c r="A12" s="51">
        <v>9</v>
      </c>
      <c r="B12" s="51">
        <v>2011236009</v>
      </c>
      <c r="C12" s="51" t="str">
        <f>'2nd Semester'!H11</f>
        <v>B-</v>
      </c>
      <c r="D12" s="51">
        <f>'2nd Semester'!I11</f>
        <v>2.75</v>
      </c>
      <c r="E12" s="51" t="str">
        <f>'2nd Semester'!P11</f>
        <v>A-</v>
      </c>
      <c r="F12" s="51">
        <f>'2nd Semester'!Q11</f>
        <v>3.5</v>
      </c>
      <c r="G12" s="51" t="str">
        <f>'2nd Semester'!X11</f>
        <v>A+</v>
      </c>
      <c r="H12" s="51">
        <f>'2nd Semester'!Y11</f>
        <v>4</v>
      </c>
      <c r="I12" s="51" t="str">
        <f>'2nd Semester'!AF11</f>
        <v>A</v>
      </c>
      <c r="J12" s="51">
        <f>'2nd Semester'!AG11</f>
        <v>3.75</v>
      </c>
    </row>
    <row r="13" spans="1:10">
      <c r="A13" s="51">
        <v>10</v>
      </c>
      <c r="B13" s="51">
        <v>2011236010</v>
      </c>
      <c r="C13" s="51" t="str">
        <f>'2nd Semester'!H12</f>
        <v>A+</v>
      </c>
      <c r="D13" s="51">
        <f>'2nd Semester'!I12</f>
        <v>4</v>
      </c>
      <c r="E13" s="51" t="str">
        <f>'2nd Semester'!P12</f>
        <v>B</v>
      </c>
      <c r="F13" s="51">
        <f>'2nd Semester'!Q12</f>
        <v>3</v>
      </c>
      <c r="G13" s="51" t="str">
        <f>'2nd Semester'!X12</f>
        <v>B+</v>
      </c>
      <c r="H13" s="51">
        <f>'2nd Semester'!Y12</f>
        <v>3.25</v>
      </c>
      <c r="I13" s="51" t="str">
        <f>'2nd Semester'!AF12</f>
        <v>A+</v>
      </c>
      <c r="J13" s="51">
        <f>'2nd Semester'!AG12</f>
        <v>4</v>
      </c>
    </row>
    <row r="14" spans="1:10">
      <c r="A14" s="51">
        <v>11</v>
      </c>
      <c r="B14" s="51">
        <v>2011236011</v>
      </c>
      <c r="C14" s="51" t="str">
        <f>'2nd Semester'!H13</f>
        <v>A-</v>
      </c>
      <c r="D14" s="51">
        <f>'2nd Semester'!I13</f>
        <v>3.5</v>
      </c>
      <c r="E14" s="51" t="str">
        <f>'2nd Semester'!P13</f>
        <v>A+</v>
      </c>
      <c r="F14" s="51">
        <f>'2nd Semester'!Q13</f>
        <v>4</v>
      </c>
      <c r="G14" s="51" t="str">
        <f>'2nd Semester'!X13</f>
        <v>A+</v>
      </c>
      <c r="H14" s="51">
        <f>'2nd Semester'!Y13</f>
        <v>4</v>
      </c>
      <c r="I14" s="51" t="str">
        <f>'2nd Semester'!AF13</f>
        <v>A+</v>
      </c>
      <c r="J14" s="51">
        <f>'2nd Semester'!AG13</f>
        <v>4</v>
      </c>
    </row>
    <row r="15" spans="1:10">
      <c r="A15" s="51">
        <v>12</v>
      </c>
      <c r="B15" s="51">
        <v>2011236012</v>
      </c>
      <c r="C15" s="51" t="str">
        <f>'2nd Semester'!H14</f>
        <v>A+</v>
      </c>
      <c r="D15" s="51">
        <f>'2nd Semester'!I14</f>
        <v>4</v>
      </c>
      <c r="E15" s="51" t="str">
        <f>'2nd Semester'!P14</f>
        <v>A+</v>
      </c>
      <c r="F15" s="51">
        <f>'2nd Semester'!Q14</f>
        <v>4</v>
      </c>
      <c r="G15" s="51" t="str">
        <f>'2nd Semester'!X14</f>
        <v>A+</v>
      </c>
      <c r="H15" s="51">
        <f>'2nd Semester'!Y14</f>
        <v>4</v>
      </c>
      <c r="I15" s="51" t="str">
        <f>'2nd Semester'!AF14</f>
        <v>A+</v>
      </c>
      <c r="J15" s="51">
        <f>'2nd Semester'!AG14</f>
        <v>4</v>
      </c>
    </row>
    <row r="16" spans="1:10">
      <c r="A16" s="51">
        <v>13</v>
      </c>
      <c r="B16" s="51">
        <v>2011236013</v>
      </c>
      <c r="C16" s="51" t="str">
        <f>'2nd Semester'!H15</f>
        <v>A+</v>
      </c>
      <c r="D16" s="51">
        <f>'2nd Semester'!I15</f>
        <v>4</v>
      </c>
      <c r="E16" s="51" t="str">
        <f>'2nd Semester'!P15</f>
        <v>B+</v>
      </c>
      <c r="F16" s="51">
        <f>'2nd Semester'!Q15</f>
        <v>3.25</v>
      </c>
      <c r="G16" s="51" t="str">
        <f>'2nd Semester'!X15</f>
        <v>A+</v>
      </c>
      <c r="H16" s="51">
        <f>'2nd Semester'!Y15</f>
        <v>4</v>
      </c>
      <c r="I16" s="51" t="str">
        <f>'2nd Semester'!AF15</f>
        <v>A+</v>
      </c>
      <c r="J16" s="51">
        <f>'2nd Semester'!AG15</f>
        <v>4</v>
      </c>
    </row>
    <row r="17" spans="1:10">
      <c r="A17" s="51">
        <v>14</v>
      </c>
      <c r="B17" s="51">
        <v>2011236014</v>
      </c>
      <c r="C17" s="51" t="str">
        <f>'2nd Semester'!H16</f>
        <v>A+</v>
      </c>
      <c r="D17" s="51">
        <f>'2nd Semester'!I16</f>
        <v>4</v>
      </c>
      <c r="E17" s="51" t="str">
        <f>'2nd Semester'!P16</f>
        <v>A+</v>
      </c>
      <c r="F17" s="51">
        <f>'2nd Semester'!Q16</f>
        <v>4</v>
      </c>
      <c r="G17" s="51" t="str">
        <f>'2nd Semester'!X16</f>
        <v>A</v>
      </c>
      <c r="H17" s="51">
        <f>'2nd Semester'!Y16</f>
        <v>3.75</v>
      </c>
      <c r="I17" s="51" t="str">
        <f>'2nd Semester'!AF16</f>
        <v>A-</v>
      </c>
      <c r="J17" s="51">
        <f>'2nd Semester'!AG16</f>
        <v>3.5</v>
      </c>
    </row>
    <row r="18" spans="1:10">
      <c r="A18" s="51">
        <v>15</v>
      </c>
      <c r="B18" s="51">
        <v>2011236015</v>
      </c>
      <c r="C18" s="51" t="str">
        <f>'2nd Semester'!H17</f>
        <v>A+</v>
      </c>
      <c r="D18" s="51">
        <f>'2nd Semester'!I17</f>
        <v>4</v>
      </c>
      <c r="E18" s="51" t="str">
        <f>'2nd Semester'!P17</f>
        <v>B+</v>
      </c>
      <c r="F18" s="51">
        <f>'2nd Semester'!Q17</f>
        <v>3.25</v>
      </c>
      <c r="G18" s="51" t="str">
        <f>'2nd Semester'!X17</f>
        <v>A+</v>
      </c>
      <c r="H18" s="51">
        <f>'2nd Semester'!Y17</f>
        <v>4</v>
      </c>
      <c r="I18" s="51" t="str">
        <f>'2nd Semester'!AF17</f>
        <v>A+</v>
      </c>
      <c r="J18" s="51">
        <f>'2nd Semester'!AG17</f>
        <v>4</v>
      </c>
    </row>
    <row r="19" spans="1:10">
      <c r="A19" s="51">
        <v>16</v>
      </c>
      <c r="B19" s="51">
        <v>2011236016</v>
      </c>
      <c r="C19" s="51" t="str">
        <f>'2nd Semester'!H18</f>
        <v>A+</v>
      </c>
      <c r="D19" s="51">
        <f>'2nd Semester'!I18</f>
        <v>4</v>
      </c>
      <c r="E19" s="51" t="str">
        <f>'2nd Semester'!P18</f>
        <v>A+</v>
      </c>
      <c r="F19" s="51">
        <f>'2nd Semester'!Q18</f>
        <v>4</v>
      </c>
      <c r="G19" s="51" t="str">
        <f>'2nd Semester'!X18</f>
        <v>A-</v>
      </c>
      <c r="H19" s="51">
        <f>'2nd Semester'!Y18</f>
        <v>3.5</v>
      </c>
      <c r="I19" s="51" t="str">
        <f>'2nd Semester'!AF18</f>
        <v>A-</v>
      </c>
      <c r="J19" s="51">
        <f>'2nd Semester'!AG18</f>
        <v>3.5</v>
      </c>
    </row>
    <row r="20" spans="1:10">
      <c r="A20" s="51">
        <v>17</v>
      </c>
      <c r="B20" s="51">
        <v>2011236017</v>
      </c>
      <c r="C20" s="51" t="str">
        <f>'2nd Semester'!H19</f>
        <v>A+</v>
      </c>
      <c r="D20" s="51">
        <f>'2nd Semester'!I19</f>
        <v>4</v>
      </c>
      <c r="E20" s="51" t="str">
        <f>'2nd Semester'!P19</f>
        <v>A</v>
      </c>
      <c r="F20" s="51">
        <f>'2nd Semester'!Q19</f>
        <v>3.75</v>
      </c>
      <c r="G20" s="51" t="str">
        <f>'2nd Semester'!X19</f>
        <v>A-</v>
      </c>
      <c r="H20" s="51">
        <f>'2nd Semester'!Y19</f>
        <v>3.5</v>
      </c>
      <c r="I20" s="51" t="str">
        <f>'2nd Semester'!AF19</f>
        <v>A</v>
      </c>
      <c r="J20" s="51">
        <f>'2nd Semester'!AG19</f>
        <v>3.75</v>
      </c>
    </row>
    <row r="21" spans="1:10">
      <c r="A21" s="51">
        <v>18</v>
      </c>
      <c r="B21" s="51">
        <v>2011236018</v>
      </c>
      <c r="C21" s="51" t="str">
        <f>'2nd Semester'!H20</f>
        <v>B+</v>
      </c>
      <c r="D21" s="51">
        <f>'2nd Semester'!I20</f>
        <v>3.25</v>
      </c>
      <c r="E21" s="51" t="str">
        <f>'2nd Semester'!P20</f>
        <v>A-</v>
      </c>
      <c r="F21" s="51">
        <f>'2nd Semester'!Q20</f>
        <v>3.5</v>
      </c>
      <c r="G21" s="51" t="str">
        <f>'2nd Semester'!X20</f>
        <v>A-</v>
      </c>
      <c r="H21" s="51">
        <f>'2nd Semester'!Y20</f>
        <v>3.5</v>
      </c>
      <c r="I21" s="51" t="str">
        <f>'2nd Semester'!AF20</f>
        <v>A</v>
      </c>
      <c r="J21" s="51">
        <f>'2nd Semester'!AG20</f>
        <v>3.75</v>
      </c>
    </row>
    <row r="22" spans="1:10">
      <c r="A22" s="51">
        <v>19</v>
      </c>
      <c r="B22" s="51">
        <v>2011236019</v>
      </c>
      <c r="C22" s="51" t="str">
        <f>'2nd Semester'!H21</f>
        <v>B+</v>
      </c>
      <c r="D22" s="51">
        <f>'2nd Semester'!I21</f>
        <v>3.25</v>
      </c>
      <c r="E22" s="51" t="str">
        <f>'2nd Semester'!P21</f>
        <v>B+</v>
      </c>
      <c r="F22" s="51">
        <f>'2nd Semester'!Q21</f>
        <v>3.25</v>
      </c>
      <c r="G22" s="51" t="str">
        <f>'2nd Semester'!X21</f>
        <v>A+</v>
      </c>
      <c r="H22" s="51">
        <f>'2nd Semester'!Y21</f>
        <v>4</v>
      </c>
      <c r="I22" s="51" t="str">
        <f>'2nd Semester'!AF21</f>
        <v>A+</v>
      </c>
      <c r="J22" s="51">
        <f>'2nd Semester'!AG21</f>
        <v>4</v>
      </c>
    </row>
    <row r="23" spans="1:10">
      <c r="A23" s="51">
        <v>20</v>
      </c>
      <c r="B23" s="51">
        <v>2011236020</v>
      </c>
      <c r="C23" s="51" t="str">
        <f>'2nd Semester'!H22</f>
        <v>A-</v>
      </c>
      <c r="D23" s="51">
        <f>'2nd Semester'!I22</f>
        <v>3.5</v>
      </c>
      <c r="E23" s="51" t="str">
        <f>'2nd Semester'!P22</f>
        <v>A+</v>
      </c>
      <c r="F23" s="51">
        <f>'2nd Semester'!Q22</f>
        <v>4</v>
      </c>
      <c r="G23" s="51" t="str">
        <f>'2nd Semester'!X22</f>
        <v>A+</v>
      </c>
      <c r="H23" s="51">
        <f>'2nd Semester'!Y22</f>
        <v>4</v>
      </c>
      <c r="I23" s="51" t="str">
        <f>'2nd Semester'!AF22</f>
        <v>A-</v>
      </c>
      <c r="J23" s="51">
        <f>'2nd Semester'!AG22</f>
        <v>3.5</v>
      </c>
    </row>
    <row r="24" spans="1:10">
      <c r="A24" s="51">
        <v>21</v>
      </c>
      <c r="B24" s="51">
        <v>2011236021</v>
      </c>
      <c r="C24" s="51" t="str">
        <f>'2nd Semester'!H23</f>
        <v>B</v>
      </c>
      <c r="D24" s="51">
        <f>'2nd Semester'!I23</f>
        <v>3</v>
      </c>
      <c r="E24" s="51" t="str">
        <f>'2nd Semester'!P23</f>
        <v>B-</v>
      </c>
      <c r="F24" s="51">
        <f>'2nd Semester'!Q23</f>
        <v>2.75</v>
      </c>
      <c r="G24" s="51" t="str">
        <f>'2nd Semester'!X23</f>
        <v>A+</v>
      </c>
      <c r="H24" s="51">
        <f>'2nd Semester'!Y23</f>
        <v>4</v>
      </c>
      <c r="I24" s="51" t="str">
        <f>'2nd Semester'!AF23</f>
        <v>A</v>
      </c>
      <c r="J24" s="51">
        <f>'2nd Semester'!AG23</f>
        <v>3.75</v>
      </c>
    </row>
    <row r="25" spans="1:10">
      <c r="A25" s="51">
        <v>22</v>
      </c>
      <c r="B25" s="51">
        <v>2011236022</v>
      </c>
      <c r="C25" s="51" t="str">
        <f>'2nd Semester'!H24</f>
        <v>B</v>
      </c>
      <c r="D25" s="51">
        <f>'2nd Semester'!I24</f>
        <v>3</v>
      </c>
      <c r="E25" s="51" t="str">
        <f>'2nd Semester'!P24</f>
        <v>B+</v>
      </c>
      <c r="F25" s="51">
        <f>'2nd Semester'!Q24</f>
        <v>3.25</v>
      </c>
      <c r="G25" s="51" t="str">
        <f>'2nd Semester'!X24</f>
        <v>B</v>
      </c>
      <c r="H25" s="51">
        <f>'2nd Semester'!Y24</f>
        <v>3</v>
      </c>
      <c r="I25" s="51" t="str">
        <f>'2nd Semester'!AF24</f>
        <v>A</v>
      </c>
      <c r="J25" s="51">
        <f>'2nd Semester'!AG24</f>
        <v>3.75</v>
      </c>
    </row>
    <row r="26" spans="1:10">
      <c r="A26" s="51">
        <v>23</v>
      </c>
      <c r="B26" s="51">
        <v>2011236023</v>
      </c>
      <c r="C26" s="51" t="str">
        <f>'2nd Semester'!H25</f>
        <v>A-</v>
      </c>
      <c r="D26" s="51">
        <f>'2nd Semester'!I25</f>
        <v>3.5</v>
      </c>
      <c r="E26" s="51" t="str">
        <f>'2nd Semester'!P25</f>
        <v>A</v>
      </c>
      <c r="F26" s="51">
        <f>'2nd Semester'!Q25</f>
        <v>3.75</v>
      </c>
      <c r="G26" s="51" t="str">
        <f>'2nd Semester'!X25</f>
        <v>A+</v>
      </c>
      <c r="H26" s="51">
        <f>'2nd Semester'!Y25</f>
        <v>4</v>
      </c>
      <c r="I26" s="51" t="str">
        <f>'2nd Semester'!AF25</f>
        <v>B+</v>
      </c>
      <c r="J26" s="51">
        <f>'2nd Semester'!AG25</f>
        <v>3.25</v>
      </c>
    </row>
    <row r="27" spans="1:10">
      <c r="A27" s="51">
        <v>24</v>
      </c>
      <c r="B27" s="51">
        <v>2011236024</v>
      </c>
      <c r="C27" s="51" t="str">
        <f>'2nd Semester'!H26</f>
        <v>A+</v>
      </c>
      <c r="D27" s="51">
        <f>'2nd Semester'!I26</f>
        <v>4</v>
      </c>
      <c r="E27" s="51" t="str">
        <f>'2nd Semester'!P26</f>
        <v>B+</v>
      </c>
      <c r="F27" s="51">
        <f>'2nd Semester'!Q26</f>
        <v>3.25</v>
      </c>
      <c r="G27" s="51" t="str">
        <f>'2nd Semester'!X26</f>
        <v>A</v>
      </c>
      <c r="H27" s="51">
        <f>'2nd Semester'!Y26</f>
        <v>3.75</v>
      </c>
      <c r="I27" s="51" t="str">
        <f>'2nd Semester'!AF26</f>
        <v>A+</v>
      </c>
      <c r="J27" s="51">
        <f>'2nd Semester'!AG26</f>
        <v>4</v>
      </c>
    </row>
    <row r="28" spans="1:10">
      <c r="A28" s="51">
        <v>25</v>
      </c>
      <c r="B28" s="51">
        <v>2011236025</v>
      </c>
      <c r="C28" s="51" t="str">
        <f>'2nd Semester'!H27</f>
        <v>B+</v>
      </c>
      <c r="D28" s="51">
        <f>'2nd Semester'!I27</f>
        <v>3.25</v>
      </c>
      <c r="E28" s="51" t="str">
        <f>'2nd Semester'!P27</f>
        <v>A+</v>
      </c>
      <c r="F28" s="51">
        <f>'2nd Semester'!Q27</f>
        <v>4</v>
      </c>
      <c r="G28" s="51" t="str">
        <f>'2nd Semester'!X27</f>
        <v>A+</v>
      </c>
      <c r="H28" s="51">
        <f>'2nd Semester'!Y27</f>
        <v>4</v>
      </c>
      <c r="I28" s="51" t="str">
        <f>'2nd Semester'!AF27</f>
        <v>A+</v>
      </c>
      <c r="J28" s="51">
        <f>'2nd Semester'!AG27</f>
        <v>4</v>
      </c>
    </row>
    <row r="29" spans="1:10">
      <c r="A29" s="51">
        <v>26</v>
      </c>
      <c r="B29" s="51">
        <v>2011236026</v>
      </c>
      <c r="C29" s="51" t="str">
        <f>'2nd Semester'!H28</f>
        <v>A+</v>
      </c>
      <c r="D29" s="51">
        <f>'2nd Semester'!I28</f>
        <v>4</v>
      </c>
      <c r="E29" s="51" t="str">
        <f>'2nd Semester'!P28</f>
        <v>A-</v>
      </c>
      <c r="F29" s="51">
        <f>'2nd Semester'!Q28</f>
        <v>3.5</v>
      </c>
      <c r="G29" s="51" t="str">
        <f>'2nd Semester'!X28</f>
        <v>A</v>
      </c>
      <c r="H29" s="51">
        <f>'2nd Semester'!Y28</f>
        <v>3.75</v>
      </c>
      <c r="I29" s="51" t="str">
        <f>'2nd Semester'!AF28</f>
        <v>B+</v>
      </c>
      <c r="J29" s="51">
        <f>'2nd Semester'!AG28</f>
        <v>3.25</v>
      </c>
    </row>
    <row r="30" spans="1:10">
      <c r="A30" s="51">
        <v>27</v>
      </c>
      <c r="B30" s="51">
        <v>2011236027</v>
      </c>
      <c r="C30" s="51" t="str">
        <f>'2nd Semester'!H29</f>
        <v>B+</v>
      </c>
      <c r="D30" s="51">
        <f>'2nd Semester'!I29</f>
        <v>3.25</v>
      </c>
      <c r="E30" s="51" t="str">
        <f>'2nd Semester'!P29</f>
        <v>A+</v>
      </c>
      <c r="F30" s="51">
        <f>'2nd Semester'!Q29</f>
        <v>4</v>
      </c>
      <c r="G30" s="51" t="str">
        <f>'2nd Semester'!X29</f>
        <v>A</v>
      </c>
      <c r="H30" s="51">
        <f>'2nd Semester'!Y29</f>
        <v>3.75</v>
      </c>
      <c r="I30" s="51" t="str">
        <f>'2nd Semester'!AF29</f>
        <v>A+</v>
      </c>
      <c r="J30" s="51">
        <f>'2nd Semester'!AG29</f>
        <v>4</v>
      </c>
    </row>
    <row r="31" spans="1:10">
      <c r="A31" s="51">
        <v>28</v>
      </c>
      <c r="B31" s="51">
        <v>2011236028</v>
      </c>
      <c r="C31" s="51" t="str">
        <f>'2nd Semester'!H30</f>
        <v>A+</v>
      </c>
      <c r="D31" s="51">
        <f>'2nd Semester'!I30</f>
        <v>4</v>
      </c>
      <c r="E31" s="51" t="str">
        <f>'2nd Semester'!P30</f>
        <v>A+</v>
      </c>
      <c r="F31" s="51">
        <f>'2nd Semester'!Q30</f>
        <v>4</v>
      </c>
      <c r="G31" s="51" t="str">
        <f>'2nd Semester'!X30</f>
        <v>A+</v>
      </c>
      <c r="H31" s="51">
        <f>'2nd Semester'!Y30</f>
        <v>4</v>
      </c>
      <c r="I31" s="51" t="str">
        <f>'2nd Semester'!AF30</f>
        <v>A+</v>
      </c>
      <c r="J31" s="51">
        <f>'2nd Semester'!AG30</f>
        <v>4</v>
      </c>
    </row>
    <row r="32" spans="1:10">
      <c r="A32" s="51">
        <v>29</v>
      </c>
      <c r="B32" s="51">
        <v>2011236029</v>
      </c>
      <c r="C32" s="51" t="str">
        <f>'2nd Semester'!H31</f>
        <v>A+</v>
      </c>
      <c r="D32" s="51">
        <f>'2nd Semester'!I31</f>
        <v>4</v>
      </c>
      <c r="E32" s="51" t="str">
        <f>'2nd Semester'!P31</f>
        <v>A-</v>
      </c>
      <c r="F32" s="51">
        <f>'2nd Semester'!Q31</f>
        <v>3.5</v>
      </c>
      <c r="G32" s="51" t="str">
        <f>'2nd Semester'!X31</f>
        <v>A+</v>
      </c>
      <c r="H32" s="51">
        <f>'2nd Semester'!Y31</f>
        <v>4</v>
      </c>
      <c r="I32" s="51" t="str">
        <f>'2nd Semester'!AF31</f>
        <v>A+</v>
      </c>
      <c r="J32" s="51">
        <f>'2nd Semester'!AG31</f>
        <v>4</v>
      </c>
    </row>
    <row r="33" spans="1:10">
      <c r="A33" s="51">
        <v>30</v>
      </c>
      <c r="B33" s="51">
        <v>2011236030</v>
      </c>
      <c r="C33" s="51" t="str">
        <f>'2nd Semester'!H32</f>
        <v>A</v>
      </c>
      <c r="D33" s="51">
        <f>'2nd Semester'!I32</f>
        <v>3.75</v>
      </c>
      <c r="E33" s="51" t="str">
        <f>'2nd Semester'!P32</f>
        <v>A</v>
      </c>
      <c r="F33" s="51">
        <f>'2nd Semester'!Q32</f>
        <v>3.75</v>
      </c>
      <c r="G33" s="51" t="str">
        <f>'2nd Semester'!X32</f>
        <v>A+</v>
      </c>
      <c r="H33" s="51">
        <f>'2nd Semester'!Y32</f>
        <v>4</v>
      </c>
      <c r="I33" s="51" t="str">
        <f>'2nd Semester'!AF32</f>
        <v>B+</v>
      </c>
      <c r="J33" s="51">
        <f>'2nd Semester'!AG32</f>
        <v>3.25</v>
      </c>
    </row>
    <row r="34" spans="1:10">
      <c r="C34" s="51"/>
      <c r="D34" s="51"/>
    </row>
  </sheetData>
  <mergeCells count="8">
    <mergeCell ref="C1:D1"/>
    <mergeCell ref="E1:F1"/>
    <mergeCell ref="G1:H1"/>
    <mergeCell ref="I1:J1"/>
    <mergeCell ref="C2:D2"/>
    <mergeCell ref="E2:F2"/>
    <mergeCell ref="G2:H2"/>
    <mergeCell ref="I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4"/>
  <sheetViews>
    <sheetView tabSelected="1" zoomScale="80" zoomScaleNormal="80" workbookViewId="0">
      <selection activeCell="O18" sqref="O18"/>
    </sheetView>
  </sheetViews>
  <sheetFormatPr defaultRowHeight="15"/>
  <cols>
    <col min="1" max="1" width="9" style="20"/>
    <col min="2" max="2" width="13.125" style="51" customWidth="1"/>
    <col min="3" max="3" width="12.875" style="20" customWidth="1"/>
    <col min="4" max="4" width="9" style="20"/>
    <col min="5" max="5" width="14" style="20" customWidth="1"/>
    <col min="6" max="6" width="9" style="20"/>
    <col min="7" max="7" width="12.75" style="20" customWidth="1"/>
    <col min="8" max="8" width="9" style="20"/>
    <col min="9" max="9" width="12.375" style="20" customWidth="1"/>
    <col min="10" max="10" width="9" style="20"/>
    <col min="239" max="239" width="13.125" customWidth="1"/>
    <col min="242" max="242" width="15.375" customWidth="1"/>
    <col min="244" max="244" width="12.875" customWidth="1"/>
    <col min="248" max="248" width="15.25" customWidth="1"/>
    <col min="250" max="250" width="14" customWidth="1"/>
    <col min="254" max="254" width="14.625" customWidth="1"/>
    <col min="256" max="256" width="12.75" customWidth="1"/>
    <col min="260" max="260" width="16.625" customWidth="1"/>
    <col min="262" max="262" width="12.375" customWidth="1"/>
    <col min="264" max="264" width="13.25" customWidth="1"/>
    <col min="265" max="265" width="11.75" customWidth="1"/>
    <col min="266" max="266" width="14.125" customWidth="1"/>
    <col min="495" max="495" width="13.125" customWidth="1"/>
    <col min="498" max="498" width="15.375" customWidth="1"/>
    <col min="500" max="500" width="12.875" customWidth="1"/>
    <col min="504" max="504" width="15.25" customWidth="1"/>
    <col min="506" max="506" width="14" customWidth="1"/>
    <col min="510" max="510" width="14.625" customWidth="1"/>
    <col min="512" max="512" width="12.75" customWidth="1"/>
    <col min="516" max="516" width="16.625" customWidth="1"/>
    <col min="518" max="518" width="12.375" customWidth="1"/>
    <col min="520" max="520" width="13.25" customWidth="1"/>
    <col min="521" max="521" width="11.75" customWidth="1"/>
    <col min="522" max="522" width="14.125" customWidth="1"/>
    <col min="751" max="751" width="13.125" customWidth="1"/>
    <col min="754" max="754" width="15.375" customWidth="1"/>
    <col min="756" max="756" width="12.875" customWidth="1"/>
    <col min="760" max="760" width="15.25" customWidth="1"/>
    <col min="762" max="762" width="14" customWidth="1"/>
    <col min="766" max="766" width="14.625" customWidth="1"/>
    <col min="768" max="768" width="12.75" customWidth="1"/>
    <col min="772" max="772" width="16.625" customWidth="1"/>
    <col min="774" max="774" width="12.375" customWidth="1"/>
    <col min="776" max="776" width="13.25" customWidth="1"/>
    <col min="777" max="777" width="11.75" customWidth="1"/>
    <col min="778" max="778" width="14.125" customWidth="1"/>
    <col min="1007" max="1007" width="13.125" customWidth="1"/>
    <col min="1010" max="1010" width="15.375" customWidth="1"/>
    <col min="1012" max="1012" width="12.875" customWidth="1"/>
    <col min="1016" max="1016" width="15.25" customWidth="1"/>
    <col min="1018" max="1018" width="14" customWidth="1"/>
    <col min="1022" max="1022" width="14.625" customWidth="1"/>
    <col min="1024" max="1024" width="12.75" customWidth="1"/>
    <col min="1028" max="1028" width="16.625" customWidth="1"/>
    <col min="1030" max="1030" width="12.375" customWidth="1"/>
    <col min="1032" max="1032" width="13.25" customWidth="1"/>
    <col min="1033" max="1033" width="11.75" customWidth="1"/>
    <col min="1034" max="1034" width="14.125" customWidth="1"/>
    <col min="1263" max="1263" width="13.125" customWidth="1"/>
    <col min="1266" max="1266" width="15.375" customWidth="1"/>
    <col min="1268" max="1268" width="12.875" customWidth="1"/>
    <col min="1272" max="1272" width="15.25" customWidth="1"/>
    <col min="1274" max="1274" width="14" customWidth="1"/>
    <col min="1278" max="1278" width="14.625" customWidth="1"/>
    <col min="1280" max="1280" width="12.75" customWidth="1"/>
    <col min="1284" max="1284" width="16.625" customWidth="1"/>
    <col min="1286" max="1286" width="12.375" customWidth="1"/>
    <col min="1288" max="1288" width="13.25" customWidth="1"/>
    <col min="1289" max="1289" width="11.75" customWidth="1"/>
    <col min="1290" max="1290" width="14.125" customWidth="1"/>
    <col min="1519" max="1519" width="13.125" customWidth="1"/>
    <col min="1522" max="1522" width="15.375" customWidth="1"/>
    <col min="1524" max="1524" width="12.875" customWidth="1"/>
    <col min="1528" max="1528" width="15.25" customWidth="1"/>
    <col min="1530" max="1530" width="14" customWidth="1"/>
    <col min="1534" max="1534" width="14.625" customWidth="1"/>
    <col min="1536" max="1536" width="12.75" customWidth="1"/>
    <col min="1540" max="1540" width="16.625" customWidth="1"/>
    <col min="1542" max="1542" width="12.375" customWidth="1"/>
    <col min="1544" max="1544" width="13.25" customWidth="1"/>
    <col min="1545" max="1545" width="11.75" customWidth="1"/>
    <col min="1546" max="1546" width="14.125" customWidth="1"/>
    <col min="1775" max="1775" width="13.125" customWidth="1"/>
    <col min="1778" max="1778" width="15.375" customWidth="1"/>
    <col min="1780" max="1780" width="12.875" customWidth="1"/>
    <col min="1784" max="1784" width="15.25" customWidth="1"/>
    <col min="1786" max="1786" width="14" customWidth="1"/>
    <col min="1790" max="1790" width="14.625" customWidth="1"/>
    <col min="1792" max="1792" width="12.75" customWidth="1"/>
    <col min="1796" max="1796" width="16.625" customWidth="1"/>
    <col min="1798" max="1798" width="12.375" customWidth="1"/>
    <col min="1800" max="1800" width="13.25" customWidth="1"/>
    <col min="1801" max="1801" width="11.75" customWidth="1"/>
    <col min="1802" max="1802" width="14.125" customWidth="1"/>
    <col min="2031" max="2031" width="13.125" customWidth="1"/>
    <col min="2034" max="2034" width="15.375" customWidth="1"/>
    <col min="2036" max="2036" width="12.875" customWidth="1"/>
    <col min="2040" max="2040" width="15.25" customWidth="1"/>
    <col min="2042" max="2042" width="14" customWidth="1"/>
    <col min="2046" max="2046" width="14.625" customWidth="1"/>
    <col min="2048" max="2048" width="12.75" customWidth="1"/>
    <col min="2052" max="2052" width="16.625" customWidth="1"/>
    <col min="2054" max="2054" width="12.375" customWidth="1"/>
    <col min="2056" max="2056" width="13.25" customWidth="1"/>
    <col min="2057" max="2057" width="11.75" customWidth="1"/>
    <col min="2058" max="2058" width="14.125" customWidth="1"/>
    <col min="2287" max="2287" width="13.125" customWidth="1"/>
    <col min="2290" max="2290" width="15.375" customWidth="1"/>
    <col min="2292" max="2292" width="12.875" customWidth="1"/>
    <col min="2296" max="2296" width="15.25" customWidth="1"/>
    <col min="2298" max="2298" width="14" customWidth="1"/>
    <col min="2302" max="2302" width="14.625" customWidth="1"/>
    <col min="2304" max="2304" width="12.75" customWidth="1"/>
    <col min="2308" max="2308" width="16.625" customWidth="1"/>
    <col min="2310" max="2310" width="12.375" customWidth="1"/>
    <col min="2312" max="2312" width="13.25" customWidth="1"/>
    <col min="2313" max="2313" width="11.75" customWidth="1"/>
    <col min="2314" max="2314" width="14.125" customWidth="1"/>
    <col min="2543" max="2543" width="13.125" customWidth="1"/>
    <col min="2546" max="2546" width="15.375" customWidth="1"/>
    <col min="2548" max="2548" width="12.875" customWidth="1"/>
    <col min="2552" max="2552" width="15.25" customWidth="1"/>
    <col min="2554" max="2554" width="14" customWidth="1"/>
    <col min="2558" max="2558" width="14.625" customWidth="1"/>
    <col min="2560" max="2560" width="12.75" customWidth="1"/>
    <col min="2564" max="2564" width="16.625" customWidth="1"/>
    <col min="2566" max="2566" width="12.375" customWidth="1"/>
    <col min="2568" max="2568" width="13.25" customWidth="1"/>
    <col min="2569" max="2569" width="11.75" customWidth="1"/>
    <col min="2570" max="2570" width="14.125" customWidth="1"/>
    <col min="2799" max="2799" width="13.125" customWidth="1"/>
    <col min="2802" max="2802" width="15.375" customWidth="1"/>
    <col min="2804" max="2804" width="12.875" customWidth="1"/>
    <col min="2808" max="2808" width="15.25" customWidth="1"/>
    <col min="2810" max="2810" width="14" customWidth="1"/>
    <col min="2814" max="2814" width="14.625" customWidth="1"/>
    <col min="2816" max="2816" width="12.75" customWidth="1"/>
    <col min="2820" max="2820" width="16.625" customWidth="1"/>
    <col min="2822" max="2822" width="12.375" customWidth="1"/>
    <col min="2824" max="2824" width="13.25" customWidth="1"/>
    <col min="2825" max="2825" width="11.75" customWidth="1"/>
    <col min="2826" max="2826" width="14.125" customWidth="1"/>
    <col min="3055" max="3055" width="13.125" customWidth="1"/>
    <col min="3058" max="3058" width="15.375" customWidth="1"/>
    <col min="3060" max="3060" width="12.875" customWidth="1"/>
    <col min="3064" max="3064" width="15.25" customWidth="1"/>
    <col min="3066" max="3066" width="14" customWidth="1"/>
    <col min="3070" max="3070" width="14.625" customWidth="1"/>
    <col min="3072" max="3072" width="12.75" customWidth="1"/>
    <col min="3076" max="3076" width="16.625" customWidth="1"/>
    <col min="3078" max="3078" width="12.375" customWidth="1"/>
    <col min="3080" max="3080" width="13.25" customWidth="1"/>
    <col min="3081" max="3081" width="11.75" customWidth="1"/>
    <col min="3082" max="3082" width="14.125" customWidth="1"/>
    <col min="3311" max="3311" width="13.125" customWidth="1"/>
    <col min="3314" max="3314" width="15.375" customWidth="1"/>
    <col min="3316" max="3316" width="12.875" customWidth="1"/>
    <col min="3320" max="3320" width="15.25" customWidth="1"/>
    <col min="3322" max="3322" width="14" customWidth="1"/>
    <col min="3326" max="3326" width="14.625" customWidth="1"/>
    <col min="3328" max="3328" width="12.75" customWidth="1"/>
    <col min="3332" max="3332" width="16.625" customWidth="1"/>
    <col min="3334" max="3334" width="12.375" customWidth="1"/>
    <col min="3336" max="3336" width="13.25" customWidth="1"/>
    <col min="3337" max="3337" width="11.75" customWidth="1"/>
    <col min="3338" max="3338" width="14.125" customWidth="1"/>
    <col min="3567" max="3567" width="13.125" customWidth="1"/>
    <col min="3570" max="3570" width="15.375" customWidth="1"/>
    <col min="3572" max="3572" width="12.875" customWidth="1"/>
    <col min="3576" max="3576" width="15.25" customWidth="1"/>
    <col min="3578" max="3578" width="14" customWidth="1"/>
    <col min="3582" max="3582" width="14.625" customWidth="1"/>
    <col min="3584" max="3584" width="12.75" customWidth="1"/>
    <col min="3588" max="3588" width="16.625" customWidth="1"/>
    <col min="3590" max="3590" width="12.375" customWidth="1"/>
    <col min="3592" max="3592" width="13.25" customWidth="1"/>
    <col min="3593" max="3593" width="11.75" customWidth="1"/>
    <col min="3594" max="3594" width="14.125" customWidth="1"/>
    <col min="3823" max="3823" width="13.125" customWidth="1"/>
    <col min="3826" max="3826" width="15.375" customWidth="1"/>
    <col min="3828" max="3828" width="12.875" customWidth="1"/>
    <col min="3832" max="3832" width="15.25" customWidth="1"/>
    <col min="3834" max="3834" width="14" customWidth="1"/>
    <col min="3838" max="3838" width="14.625" customWidth="1"/>
    <col min="3840" max="3840" width="12.75" customWidth="1"/>
    <col min="3844" max="3844" width="16.625" customWidth="1"/>
    <col min="3846" max="3846" width="12.375" customWidth="1"/>
    <col min="3848" max="3848" width="13.25" customWidth="1"/>
    <col min="3849" max="3849" width="11.75" customWidth="1"/>
    <col min="3850" max="3850" width="14.125" customWidth="1"/>
    <col min="4079" max="4079" width="13.125" customWidth="1"/>
    <col min="4082" max="4082" width="15.375" customWidth="1"/>
    <col min="4084" max="4084" width="12.875" customWidth="1"/>
    <col min="4088" max="4088" width="15.25" customWidth="1"/>
    <col min="4090" max="4090" width="14" customWidth="1"/>
    <col min="4094" max="4094" width="14.625" customWidth="1"/>
    <col min="4096" max="4096" width="12.75" customWidth="1"/>
    <col min="4100" max="4100" width="16.625" customWidth="1"/>
    <col min="4102" max="4102" width="12.375" customWidth="1"/>
    <col min="4104" max="4104" width="13.25" customWidth="1"/>
    <col min="4105" max="4105" width="11.75" customWidth="1"/>
    <col min="4106" max="4106" width="14.125" customWidth="1"/>
    <col min="4335" max="4335" width="13.125" customWidth="1"/>
    <col min="4338" max="4338" width="15.375" customWidth="1"/>
    <col min="4340" max="4340" width="12.875" customWidth="1"/>
    <col min="4344" max="4344" width="15.25" customWidth="1"/>
    <col min="4346" max="4346" width="14" customWidth="1"/>
    <col min="4350" max="4350" width="14.625" customWidth="1"/>
    <col min="4352" max="4352" width="12.75" customWidth="1"/>
    <col min="4356" max="4356" width="16.625" customWidth="1"/>
    <col min="4358" max="4358" width="12.375" customWidth="1"/>
    <col min="4360" max="4360" width="13.25" customWidth="1"/>
    <col min="4361" max="4361" width="11.75" customWidth="1"/>
    <col min="4362" max="4362" width="14.125" customWidth="1"/>
    <col min="4591" max="4591" width="13.125" customWidth="1"/>
    <col min="4594" max="4594" width="15.375" customWidth="1"/>
    <col min="4596" max="4596" width="12.875" customWidth="1"/>
    <col min="4600" max="4600" width="15.25" customWidth="1"/>
    <col min="4602" max="4602" width="14" customWidth="1"/>
    <col min="4606" max="4606" width="14.625" customWidth="1"/>
    <col min="4608" max="4608" width="12.75" customWidth="1"/>
    <col min="4612" max="4612" width="16.625" customWidth="1"/>
    <col min="4614" max="4614" width="12.375" customWidth="1"/>
    <col min="4616" max="4616" width="13.25" customWidth="1"/>
    <col min="4617" max="4617" width="11.75" customWidth="1"/>
    <col min="4618" max="4618" width="14.125" customWidth="1"/>
    <col min="4847" max="4847" width="13.125" customWidth="1"/>
    <col min="4850" max="4850" width="15.375" customWidth="1"/>
    <col min="4852" max="4852" width="12.875" customWidth="1"/>
    <col min="4856" max="4856" width="15.25" customWidth="1"/>
    <col min="4858" max="4858" width="14" customWidth="1"/>
    <col min="4862" max="4862" width="14.625" customWidth="1"/>
    <col min="4864" max="4864" width="12.75" customWidth="1"/>
    <col min="4868" max="4868" width="16.625" customWidth="1"/>
    <col min="4870" max="4870" width="12.375" customWidth="1"/>
    <col min="4872" max="4872" width="13.25" customWidth="1"/>
    <col min="4873" max="4873" width="11.75" customWidth="1"/>
    <col min="4874" max="4874" width="14.125" customWidth="1"/>
    <col min="5103" max="5103" width="13.125" customWidth="1"/>
    <col min="5106" max="5106" width="15.375" customWidth="1"/>
    <col min="5108" max="5108" width="12.875" customWidth="1"/>
    <col min="5112" max="5112" width="15.25" customWidth="1"/>
    <col min="5114" max="5114" width="14" customWidth="1"/>
    <col min="5118" max="5118" width="14.625" customWidth="1"/>
    <col min="5120" max="5120" width="12.75" customWidth="1"/>
    <col min="5124" max="5124" width="16.625" customWidth="1"/>
    <col min="5126" max="5126" width="12.375" customWidth="1"/>
    <col min="5128" max="5128" width="13.25" customWidth="1"/>
    <col min="5129" max="5129" width="11.75" customWidth="1"/>
    <col min="5130" max="5130" width="14.125" customWidth="1"/>
    <col min="5359" max="5359" width="13.125" customWidth="1"/>
    <col min="5362" max="5362" width="15.375" customWidth="1"/>
    <col min="5364" max="5364" width="12.875" customWidth="1"/>
    <col min="5368" max="5368" width="15.25" customWidth="1"/>
    <col min="5370" max="5370" width="14" customWidth="1"/>
    <col min="5374" max="5374" width="14.625" customWidth="1"/>
    <col min="5376" max="5376" width="12.75" customWidth="1"/>
    <col min="5380" max="5380" width="16.625" customWidth="1"/>
    <col min="5382" max="5382" width="12.375" customWidth="1"/>
    <col min="5384" max="5384" width="13.25" customWidth="1"/>
    <col min="5385" max="5385" width="11.75" customWidth="1"/>
    <col min="5386" max="5386" width="14.125" customWidth="1"/>
    <col min="5615" max="5615" width="13.125" customWidth="1"/>
    <col min="5618" max="5618" width="15.375" customWidth="1"/>
    <col min="5620" max="5620" width="12.875" customWidth="1"/>
    <col min="5624" max="5624" width="15.25" customWidth="1"/>
    <col min="5626" max="5626" width="14" customWidth="1"/>
    <col min="5630" max="5630" width="14.625" customWidth="1"/>
    <col min="5632" max="5632" width="12.75" customWidth="1"/>
    <col min="5636" max="5636" width="16.625" customWidth="1"/>
    <col min="5638" max="5638" width="12.375" customWidth="1"/>
    <col min="5640" max="5640" width="13.25" customWidth="1"/>
    <col min="5641" max="5641" width="11.75" customWidth="1"/>
    <col min="5642" max="5642" width="14.125" customWidth="1"/>
    <col min="5871" max="5871" width="13.125" customWidth="1"/>
    <col min="5874" max="5874" width="15.375" customWidth="1"/>
    <col min="5876" max="5876" width="12.875" customWidth="1"/>
    <col min="5880" max="5880" width="15.25" customWidth="1"/>
    <col min="5882" max="5882" width="14" customWidth="1"/>
    <col min="5886" max="5886" width="14.625" customWidth="1"/>
    <col min="5888" max="5888" width="12.75" customWidth="1"/>
    <col min="5892" max="5892" width="16.625" customWidth="1"/>
    <col min="5894" max="5894" width="12.375" customWidth="1"/>
    <col min="5896" max="5896" width="13.25" customWidth="1"/>
    <col min="5897" max="5897" width="11.75" customWidth="1"/>
    <col min="5898" max="5898" width="14.125" customWidth="1"/>
    <col min="6127" max="6127" width="13.125" customWidth="1"/>
    <col min="6130" max="6130" width="15.375" customWidth="1"/>
    <col min="6132" max="6132" width="12.875" customWidth="1"/>
    <col min="6136" max="6136" width="15.25" customWidth="1"/>
    <col min="6138" max="6138" width="14" customWidth="1"/>
    <col min="6142" max="6142" width="14.625" customWidth="1"/>
    <col min="6144" max="6144" width="12.75" customWidth="1"/>
    <col min="6148" max="6148" width="16.625" customWidth="1"/>
    <col min="6150" max="6150" width="12.375" customWidth="1"/>
    <col min="6152" max="6152" width="13.25" customWidth="1"/>
    <col min="6153" max="6153" width="11.75" customWidth="1"/>
    <col min="6154" max="6154" width="14.125" customWidth="1"/>
    <col min="6383" max="6383" width="13.125" customWidth="1"/>
    <col min="6386" max="6386" width="15.375" customWidth="1"/>
    <col min="6388" max="6388" width="12.875" customWidth="1"/>
    <col min="6392" max="6392" width="15.25" customWidth="1"/>
    <col min="6394" max="6394" width="14" customWidth="1"/>
    <col min="6398" max="6398" width="14.625" customWidth="1"/>
    <col min="6400" max="6400" width="12.75" customWidth="1"/>
    <col min="6404" max="6404" width="16.625" customWidth="1"/>
    <col min="6406" max="6406" width="12.375" customWidth="1"/>
    <col min="6408" max="6408" width="13.25" customWidth="1"/>
    <col min="6409" max="6409" width="11.75" customWidth="1"/>
    <col min="6410" max="6410" width="14.125" customWidth="1"/>
    <col min="6639" max="6639" width="13.125" customWidth="1"/>
    <col min="6642" max="6642" width="15.375" customWidth="1"/>
    <col min="6644" max="6644" width="12.875" customWidth="1"/>
    <col min="6648" max="6648" width="15.25" customWidth="1"/>
    <col min="6650" max="6650" width="14" customWidth="1"/>
    <col min="6654" max="6654" width="14.625" customWidth="1"/>
    <col min="6656" max="6656" width="12.75" customWidth="1"/>
    <col min="6660" max="6660" width="16.625" customWidth="1"/>
    <col min="6662" max="6662" width="12.375" customWidth="1"/>
    <col min="6664" max="6664" width="13.25" customWidth="1"/>
    <col min="6665" max="6665" width="11.75" customWidth="1"/>
    <col min="6666" max="6666" width="14.125" customWidth="1"/>
    <col min="6895" max="6895" width="13.125" customWidth="1"/>
    <col min="6898" max="6898" width="15.375" customWidth="1"/>
    <col min="6900" max="6900" width="12.875" customWidth="1"/>
    <col min="6904" max="6904" width="15.25" customWidth="1"/>
    <col min="6906" max="6906" width="14" customWidth="1"/>
    <col min="6910" max="6910" width="14.625" customWidth="1"/>
    <col min="6912" max="6912" width="12.75" customWidth="1"/>
    <col min="6916" max="6916" width="16.625" customWidth="1"/>
    <col min="6918" max="6918" width="12.375" customWidth="1"/>
    <col min="6920" max="6920" width="13.25" customWidth="1"/>
    <col min="6921" max="6921" width="11.75" customWidth="1"/>
    <col min="6922" max="6922" width="14.125" customWidth="1"/>
    <col min="7151" max="7151" width="13.125" customWidth="1"/>
    <col min="7154" max="7154" width="15.375" customWidth="1"/>
    <col min="7156" max="7156" width="12.875" customWidth="1"/>
    <col min="7160" max="7160" width="15.25" customWidth="1"/>
    <col min="7162" max="7162" width="14" customWidth="1"/>
    <col min="7166" max="7166" width="14.625" customWidth="1"/>
    <col min="7168" max="7168" width="12.75" customWidth="1"/>
    <col min="7172" max="7172" width="16.625" customWidth="1"/>
    <col min="7174" max="7174" width="12.375" customWidth="1"/>
    <col min="7176" max="7176" width="13.25" customWidth="1"/>
    <col min="7177" max="7177" width="11.75" customWidth="1"/>
    <col min="7178" max="7178" width="14.125" customWidth="1"/>
    <col min="7407" max="7407" width="13.125" customWidth="1"/>
    <col min="7410" max="7410" width="15.375" customWidth="1"/>
    <col min="7412" max="7412" width="12.875" customWidth="1"/>
    <col min="7416" max="7416" width="15.25" customWidth="1"/>
    <col min="7418" max="7418" width="14" customWidth="1"/>
    <col min="7422" max="7422" width="14.625" customWidth="1"/>
    <col min="7424" max="7424" width="12.75" customWidth="1"/>
    <col min="7428" max="7428" width="16.625" customWidth="1"/>
    <col min="7430" max="7430" width="12.375" customWidth="1"/>
    <col min="7432" max="7432" width="13.25" customWidth="1"/>
    <col min="7433" max="7433" width="11.75" customWidth="1"/>
    <col min="7434" max="7434" width="14.125" customWidth="1"/>
    <col min="7663" max="7663" width="13.125" customWidth="1"/>
    <col min="7666" max="7666" width="15.375" customWidth="1"/>
    <col min="7668" max="7668" width="12.875" customWidth="1"/>
    <col min="7672" max="7672" width="15.25" customWidth="1"/>
    <col min="7674" max="7674" width="14" customWidth="1"/>
    <col min="7678" max="7678" width="14.625" customWidth="1"/>
    <col min="7680" max="7680" width="12.75" customWidth="1"/>
    <col min="7684" max="7684" width="16.625" customWidth="1"/>
    <col min="7686" max="7686" width="12.375" customWidth="1"/>
    <col min="7688" max="7688" width="13.25" customWidth="1"/>
    <col min="7689" max="7689" width="11.75" customWidth="1"/>
    <col min="7690" max="7690" width="14.125" customWidth="1"/>
    <col min="7919" max="7919" width="13.125" customWidth="1"/>
    <col min="7922" max="7922" width="15.375" customWidth="1"/>
    <col min="7924" max="7924" width="12.875" customWidth="1"/>
    <col min="7928" max="7928" width="15.25" customWidth="1"/>
    <col min="7930" max="7930" width="14" customWidth="1"/>
    <col min="7934" max="7934" width="14.625" customWidth="1"/>
    <col min="7936" max="7936" width="12.75" customWidth="1"/>
    <col min="7940" max="7940" width="16.625" customWidth="1"/>
    <col min="7942" max="7942" width="12.375" customWidth="1"/>
    <col min="7944" max="7944" width="13.25" customWidth="1"/>
    <col min="7945" max="7945" width="11.75" customWidth="1"/>
    <col min="7946" max="7946" width="14.125" customWidth="1"/>
    <col min="8175" max="8175" width="13.125" customWidth="1"/>
    <col min="8178" max="8178" width="15.375" customWidth="1"/>
    <col min="8180" max="8180" width="12.875" customWidth="1"/>
    <col min="8184" max="8184" width="15.25" customWidth="1"/>
    <col min="8186" max="8186" width="14" customWidth="1"/>
    <col min="8190" max="8190" width="14.625" customWidth="1"/>
    <col min="8192" max="8192" width="12.75" customWidth="1"/>
    <col min="8196" max="8196" width="16.625" customWidth="1"/>
    <col min="8198" max="8198" width="12.375" customWidth="1"/>
    <col min="8200" max="8200" width="13.25" customWidth="1"/>
    <col min="8201" max="8201" width="11.75" customWidth="1"/>
    <col min="8202" max="8202" width="14.125" customWidth="1"/>
    <col min="8431" max="8431" width="13.125" customWidth="1"/>
    <col min="8434" max="8434" width="15.375" customWidth="1"/>
    <col min="8436" max="8436" width="12.875" customWidth="1"/>
    <col min="8440" max="8440" width="15.25" customWidth="1"/>
    <col min="8442" max="8442" width="14" customWidth="1"/>
    <col min="8446" max="8446" width="14.625" customWidth="1"/>
    <col min="8448" max="8448" width="12.75" customWidth="1"/>
    <col min="8452" max="8452" width="16.625" customWidth="1"/>
    <col min="8454" max="8454" width="12.375" customWidth="1"/>
    <col min="8456" max="8456" width="13.25" customWidth="1"/>
    <col min="8457" max="8457" width="11.75" customWidth="1"/>
    <col min="8458" max="8458" width="14.125" customWidth="1"/>
    <col min="8687" max="8687" width="13.125" customWidth="1"/>
    <col min="8690" max="8690" width="15.375" customWidth="1"/>
    <col min="8692" max="8692" width="12.875" customWidth="1"/>
    <col min="8696" max="8696" width="15.25" customWidth="1"/>
    <col min="8698" max="8698" width="14" customWidth="1"/>
    <col min="8702" max="8702" width="14.625" customWidth="1"/>
    <col min="8704" max="8704" width="12.75" customWidth="1"/>
    <col min="8708" max="8708" width="16.625" customWidth="1"/>
    <col min="8710" max="8710" width="12.375" customWidth="1"/>
    <col min="8712" max="8712" width="13.25" customWidth="1"/>
    <col min="8713" max="8713" width="11.75" customWidth="1"/>
    <col min="8714" max="8714" width="14.125" customWidth="1"/>
    <col min="8943" max="8943" width="13.125" customWidth="1"/>
    <col min="8946" max="8946" width="15.375" customWidth="1"/>
    <col min="8948" max="8948" width="12.875" customWidth="1"/>
    <col min="8952" max="8952" width="15.25" customWidth="1"/>
    <col min="8954" max="8954" width="14" customWidth="1"/>
    <col min="8958" max="8958" width="14.625" customWidth="1"/>
    <col min="8960" max="8960" width="12.75" customWidth="1"/>
    <col min="8964" max="8964" width="16.625" customWidth="1"/>
    <col min="8966" max="8966" width="12.375" customWidth="1"/>
    <col min="8968" max="8968" width="13.25" customWidth="1"/>
    <col min="8969" max="8969" width="11.75" customWidth="1"/>
    <col min="8970" max="8970" width="14.125" customWidth="1"/>
    <col min="9199" max="9199" width="13.125" customWidth="1"/>
    <col min="9202" max="9202" width="15.375" customWidth="1"/>
    <col min="9204" max="9204" width="12.875" customWidth="1"/>
    <col min="9208" max="9208" width="15.25" customWidth="1"/>
    <col min="9210" max="9210" width="14" customWidth="1"/>
    <col min="9214" max="9214" width="14.625" customWidth="1"/>
    <col min="9216" max="9216" width="12.75" customWidth="1"/>
    <col min="9220" max="9220" width="16.625" customWidth="1"/>
    <col min="9222" max="9222" width="12.375" customWidth="1"/>
    <col min="9224" max="9224" width="13.25" customWidth="1"/>
    <col min="9225" max="9225" width="11.75" customWidth="1"/>
    <col min="9226" max="9226" width="14.125" customWidth="1"/>
    <col min="9455" max="9455" width="13.125" customWidth="1"/>
    <col min="9458" max="9458" width="15.375" customWidth="1"/>
    <col min="9460" max="9460" width="12.875" customWidth="1"/>
    <col min="9464" max="9464" width="15.25" customWidth="1"/>
    <col min="9466" max="9466" width="14" customWidth="1"/>
    <col min="9470" max="9470" width="14.625" customWidth="1"/>
    <col min="9472" max="9472" width="12.75" customWidth="1"/>
    <col min="9476" max="9476" width="16.625" customWidth="1"/>
    <col min="9478" max="9478" width="12.375" customWidth="1"/>
    <col min="9480" max="9480" width="13.25" customWidth="1"/>
    <col min="9481" max="9481" width="11.75" customWidth="1"/>
    <col min="9482" max="9482" width="14.125" customWidth="1"/>
    <col min="9711" max="9711" width="13.125" customWidth="1"/>
    <col min="9714" max="9714" width="15.375" customWidth="1"/>
    <col min="9716" max="9716" width="12.875" customWidth="1"/>
    <col min="9720" max="9720" width="15.25" customWidth="1"/>
    <col min="9722" max="9722" width="14" customWidth="1"/>
    <col min="9726" max="9726" width="14.625" customWidth="1"/>
    <col min="9728" max="9728" width="12.75" customWidth="1"/>
    <col min="9732" max="9732" width="16.625" customWidth="1"/>
    <col min="9734" max="9734" width="12.375" customWidth="1"/>
    <col min="9736" max="9736" width="13.25" customWidth="1"/>
    <col min="9737" max="9737" width="11.75" customWidth="1"/>
    <col min="9738" max="9738" width="14.125" customWidth="1"/>
    <col min="9967" max="9967" width="13.125" customWidth="1"/>
    <col min="9970" max="9970" width="15.375" customWidth="1"/>
    <col min="9972" max="9972" width="12.875" customWidth="1"/>
    <col min="9976" max="9976" width="15.25" customWidth="1"/>
    <col min="9978" max="9978" width="14" customWidth="1"/>
    <col min="9982" max="9982" width="14.625" customWidth="1"/>
    <col min="9984" max="9984" width="12.75" customWidth="1"/>
    <col min="9988" max="9988" width="16.625" customWidth="1"/>
    <col min="9990" max="9990" width="12.375" customWidth="1"/>
    <col min="9992" max="9992" width="13.25" customWidth="1"/>
    <col min="9993" max="9993" width="11.75" customWidth="1"/>
    <col min="9994" max="9994" width="14.125" customWidth="1"/>
    <col min="10223" max="10223" width="13.125" customWidth="1"/>
    <col min="10226" max="10226" width="15.375" customWidth="1"/>
    <col min="10228" max="10228" width="12.875" customWidth="1"/>
    <col min="10232" max="10232" width="15.25" customWidth="1"/>
    <col min="10234" max="10234" width="14" customWidth="1"/>
    <col min="10238" max="10238" width="14.625" customWidth="1"/>
    <col min="10240" max="10240" width="12.75" customWidth="1"/>
    <col min="10244" max="10244" width="16.625" customWidth="1"/>
    <col min="10246" max="10246" width="12.375" customWidth="1"/>
    <col min="10248" max="10248" width="13.25" customWidth="1"/>
    <col min="10249" max="10249" width="11.75" customWidth="1"/>
    <col min="10250" max="10250" width="14.125" customWidth="1"/>
    <col min="10479" max="10479" width="13.125" customWidth="1"/>
    <col min="10482" max="10482" width="15.375" customWidth="1"/>
    <col min="10484" max="10484" width="12.875" customWidth="1"/>
    <col min="10488" max="10488" width="15.25" customWidth="1"/>
    <col min="10490" max="10490" width="14" customWidth="1"/>
    <col min="10494" max="10494" width="14.625" customWidth="1"/>
    <col min="10496" max="10496" width="12.75" customWidth="1"/>
    <col min="10500" max="10500" width="16.625" customWidth="1"/>
    <col min="10502" max="10502" width="12.375" customWidth="1"/>
    <col min="10504" max="10504" width="13.25" customWidth="1"/>
    <col min="10505" max="10505" width="11.75" customWidth="1"/>
    <col min="10506" max="10506" width="14.125" customWidth="1"/>
    <col min="10735" max="10735" width="13.125" customWidth="1"/>
    <col min="10738" max="10738" width="15.375" customWidth="1"/>
    <col min="10740" max="10740" width="12.875" customWidth="1"/>
    <col min="10744" max="10744" width="15.25" customWidth="1"/>
    <col min="10746" max="10746" width="14" customWidth="1"/>
    <col min="10750" max="10750" width="14.625" customWidth="1"/>
    <col min="10752" max="10752" width="12.75" customWidth="1"/>
    <col min="10756" max="10756" width="16.625" customWidth="1"/>
    <col min="10758" max="10758" width="12.375" customWidth="1"/>
    <col min="10760" max="10760" width="13.25" customWidth="1"/>
    <col min="10761" max="10761" width="11.75" customWidth="1"/>
    <col min="10762" max="10762" width="14.125" customWidth="1"/>
    <col min="10991" max="10991" width="13.125" customWidth="1"/>
    <col min="10994" max="10994" width="15.375" customWidth="1"/>
    <col min="10996" max="10996" width="12.875" customWidth="1"/>
    <col min="11000" max="11000" width="15.25" customWidth="1"/>
    <col min="11002" max="11002" width="14" customWidth="1"/>
    <col min="11006" max="11006" width="14.625" customWidth="1"/>
    <col min="11008" max="11008" width="12.75" customWidth="1"/>
    <col min="11012" max="11012" width="16.625" customWidth="1"/>
    <col min="11014" max="11014" width="12.375" customWidth="1"/>
    <col min="11016" max="11016" width="13.25" customWidth="1"/>
    <col min="11017" max="11017" width="11.75" customWidth="1"/>
    <col min="11018" max="11018" width="14.125" customWidth="1"/>
    <col min="11247" max="11247" width="13.125" customWidth="1"/>
    <col min="11250" max="11250" width="15.375" customWidth="1"/>
    <col min="11252" max="11252" width="12.875" customWidth="1"/>
    <col min="11256" max="11256" width="15.25" customWidth="1"/>
    <col min="11258" max="11258" width="14" customWidth="1"/>
    <col min="11262" max="11262" width="14.625" customWidth="1"/>
    <col min="11264" max="11264" width="12.75" customWidth="1"/>
    <col min="11268" max="11268" width="16.625" customWidth="1"/>
    <col min="11270" max="11270" width="12.375" customWidth="1"/>
    <col min="11272" max="11272" width="13.25" customWidth="1"/>
    <col min="11273" max="11273" width="11.75" customWidth="1"/>
    <col min="11274" max="11274" width="14.125" customWidth="1"/>
    <col min="11503" max="11503" width="13.125" customWidth="1"/>
    <col min="11506" max="11506" width="15.375" customWidth="1"/>
    <col min="11508" max="11508" width="12.875" customWidth="1"/>
    <col min="11512" max="11512" width="15.25" customWidth="1"/>
    <col min="11514" max="11514" width="14" customWidth="1"/>
    <col min="11518" max="11518" width="14.625" customWidth="1"/>
    <col min="11520" max="11520" width="12.75" customWidth="1"/>
    <col min="11524" max="11524" width="16.625" customWidth="1"/>
    <col min="11526" max="11526" width="12.375" customWidth="1"/>
    <col min="11528" max="11528" width="13.25" customWidth="1"/>
    <col min="11529" max="11529" width="11.75" customWidth="1"/>
    <col min="11530" max="11530" width="14.125" customWidth="1"/>
    <col min="11759" max="11759" width="13.125" customWidth="1"/>
    <col min="11762" max="11762" width="15.375" customWidth="1"/>
    <col min="11764" max="11764" width="12.875" customWidth="1"/>
    <col min="11768" max="11768" width="15.25" customWidth="1"/>
    <col min="11770" max="11770" width="14" customWidth="1"/>
    <col min="11774" max="11774" width="14.625" customWidth="1"/>
    <col min="11776" max="11776" width="12.75" customWidth="1"/>
    <col min="11780" max="11780" width="16.625" customWidth="1"/>
    <col min="11782" max="11782" width="12.375" customWidth="1"/>
    <col min="11784" max="11784" width="13.25" customWidth="1"/>
    <col min="11785" max="11785" width="11.75" customWidth="1"/>
    <col min="11786" max="11786" width="14.125" customWidth="1"/>
    <col min="12015" max="12015" width="13.125" customWidth="1"/>
    <col min="12018" max="12018" width="15.375" customWidth="1"/>
    <col min="12020" max="12020" width="12.875" customWidth="1"/>
    <col min="12024" max="12024" width="15.25" customWidth="1"/>
    <col min="12026" max="12026" width="14" customWidth="1"/>
    <col min="12030" max="12030" width="14.625" customWidth="1"/>
    <col min="12032" max="12032" width="12.75" customWidth="1"/>
    <col min="12036" max="12036" width="16.625" customWidth="1"/>
    <col min="12038" max="12038" width="12.375" customWidth="1"/>
    <col min="12040" max="12040" width="13.25" customWidth="1"/>
    <col min="12041" max="12041" width="11.75" customWidth="1"/>
    <col min="12042" max="12042" width="14.125" customWidth="1"/>
    <col min="12271" max="12271" width="13.125" customWidth="1"/>
    <col min="12274" max="12274" width="15.375" customWidth="1"/>
    <col min="12276" max="12276" width="12.875" customWidth="1"/>
    <col min="12280" max="12280" width="15.25" customWidth="1"/>
    <col min="12282" max="12282" width="14" customWidth="1"/>
    <col min="12286" max="12286" width="14.625" customWidth="1"/>
    <col min="12288" max="12288" width="12.75" customWidth="1"/>
    <col min="12292" max="12292" width="16.625" customWidth="1"/>
    <col min="12294" max="12294" width="12.375" customWidth="1"/>
    <col min="12296" max="12296" width="13.25" customWidth="1"/>
    <col min="12297" max="12297" width="11.75" customWidth="1"/>
    <col min="12298" max="12298" width="14.125" customWidth="1"/>
    <col min="12527" max="12527" width="13.125" customWidth="1"/>
    <col min="12530" max="12530" width="15.375" customWidth="1"/>
    <col min="12532" max="12532" width="12.875" customWidth="1"/>
    <col min="12536" max="12536" width="15.25" customWidth="1"/>
    <col min="12538" max="12538" width="14" customWidth="1"/>
    <col min="12542" max="12542" width="14.625" customWidth="1"/>
    <col min="12544" max="12544" width="12.75" customWidth="1"/>
    <col min="12548" max="12548" width="16.625" customWidth="1"/>
    <col min="12550" max="12550" width="12.375" customWidth="1"/>
    <col min="12552" max="12552" width="13.25" customWidth="1"/>
    <col min="12553" max="12553" width="11.75" customWidth="1"/>
    <col min="12554" max="12554" width="14.125" customWidth="1"/>
    <col min="12783" max="12783" width="13.125" customWidth="1"/>
    <col min="12786" max="12786" width="15.375" customWidth="1"/>
    <col min="12788" max="12788" width="12.875" customWidth="1"/>
    <col min="12792" max="12792" width="15.25" customWidth="1"/>
    <col min="12794" max="12794" width="14" customWidth="1"/>
    <col min="12798" max="12798" width="14.625" customWidth="1"/>
    <col min="12800" max="12800" width="12.75" customWidth="1"/>
    <col min="12804" max="12804" width="16.625" customWidth="1"/>
    <col min="12806" max="12806" width="12.375" customWidth="1"/>
    <col min="12808" max="12808" width="13.25" customWidth="1"/>
    <col min="12809" max="12809" width="11.75" customWidth="1"/>
    <col min="12810" max="12810" width="14.125" customWidth="1"/>
    <col min="13039" max="13039" width="13.125" customWidth="1"/>
    <col min="13042" max="13042" width="15.375" customWidth="1"/>
    <col min="13044" max="13044" width="12.875" customWidth="1"/>
    <col min="13048" max="13048" width="15.25" customWidth="1"/>
    <col min="13050" max="13050" width="14" customWidth="1"/>
    <col min="13054" max="13054" width="14.625" customWidth="1"/>
    <col min="13056" max="13056" width="12.75" customWidth="1"/>
    <col min="13060" max="13060" width="16.625" customWidth="1"/>
    <col min="13062" max="13062" width="12.375" customWidth="1"/>
    <col min="13064" max="13064" width="13.25" customWidth="1"/>
    <col min="13065" max="13065" width="11.75" customWidth="1"/>
    <col min="13066" max="13066" width="14.125" customWidth="1"/>
    <col min="13295" max="13295" width="13.125" customWidth="1"/>
    <col min="13298" max="13298" width="15.375" customWidth="1"/>
    <col min="13300" max="13300" width="12.875" customWidth="1"/>
    <col min="13304" max="13304" width="15.25" customWidth="1"/>
    <col min="13306" max="13306" width="14" customWidth="1"/>
    <col min="13310" max="13310" width="14.625" customWidth="1"/>
    <col min="13312" max="13312" width="12.75" customWidth="1"/>
    <col min="13316" max="13316" width="16.625" customWidth="1"/>
    <col min="13318" max="13318" width="12.375" customWidth="1"/>
    <col min="13320" max="13320" width="13.25" customWidth="1"/>
    <col min="13321" max="13321" width="11.75" customWidth="1"/>
    <col min="13322" max="13322" width="14.125" customWidth="1"/>
    <col min="13551" max="13551" width="13.125" customWidth="1"/>
    <col min="13554" max="13554" width="15.375" customWidth="1"/>
    <col min="13556" max="13556" width="12.875" customWidth="1"/>
    <col min="13560" max="13560" width="15.25" customWidth="1"/>
    <col min="13562" max="13562" width="14" customWidth="1"/>
    <col min="13566" max="13566" width="14.625" customWidth="1"/>
    <col min="13568" max="13568" width="12.75" customWidth="1"/>
    <col min="13572" max="13572" width="16.625" customWidth="1"/>
    <col min="13574" max="13574" width="12.375" customWidth="1"/>
    <col min="13576" max="13576" width="13.25" customWidth="1"/>
    <col min="13577" max="13577" width="11.75" customWidth="1"/>
    <col min="13578" max="13578" width="14.125" customWidth="1"/>
    <col min="13807" max="13807" width="13.125" customWidth="1"/>
    <col min="13810" max="13810" width="15.375" customWidth="1"/>
    <col min="13812" max="13812" width="12.875" customWidth="1"/>
    <col min="13816" max="13816" width="15.25" customWidth="1"/>
    <col min="13818" max="13818" width="14" customWidth="1"/>
    <col min="13822" max="13822" width="14.625" customWidth="1"/>
    <col min="13824" max="13824" width="12.75" customWidth="1"/>
    <col min="13828" max="13828" width="16.625" customWidth="1"/>
    <col min="13830" max="13830" width="12.375" customWidth="1"/>
    <col min="13832" max="13832" width="13.25" customWidth="1"/>
    <col min="13833" max="13833" width="11.75" customWidth="1"/>
    <col min="13834" max="13834" width="14.125" customWidth="1"/>
    <col min="14063" max="14063" width="13.125" customWidth="1"/>
    <col min="14066" max="14066" width="15.375" customWidth="1"/>
    <col min="14068" max="14068" width="12.875" customWidth="1"/>
    <col min="14072" max="14072" width="15.25" customWidth="1"/>
    <col min="14074" max="14074" width="14" customWidth="1"/>
    <col min="14078" max="14078" width="14.625" customWidth="1"/>
    <col min="14080" max="14080" width="12.75" customWidth="1"/>
    <col min="14084" max="14084" width="16.625" customWidth="1"/>
    <col min="14086" max="14086" width="12.375" customWidth="1"/>
    <col min="14088" max="14088" width="13.25" customWidth="1"/>
    <col min="14089" max="14089" width="11.75" customWidth="1"/>
    <col min="14090" max="14090" width="14.125" customWidth="1"/>
    <col min="14319" max="14319" width="13.125" customWidth="1"/>
    <col min="14322" max="14322" width="15.375" customWidth="1"/>
    <col min="14324" max="14324" width="12.875" customWidth="1"/>
    <col min="14328" max="14328" width="15.25" customWidth="1"/>
    <col min="14330" max="14330" width="14" customWidth="1"/>
    <col min="14334" max="14334" width="14.625" customWidth="1"/>
    <col min="14336" max="14336" width="12.75" customWidth="1"/>
    <col min="14340" max="14340" width="16.625" customWidth="1"/>
    <col min="14342" max="14342" width="12.375" customWidth="1"/>
    <col min="14344" max="14344" width="13.25" customWidth="1"/>
    <col min="14345" max="14345" width="11.75" customWidth="1"/>
    <col min="14346" max="14346" width="14.125" customWidth="1"/>
    <col min="14575" max="14575" width="13.125" customWidth="1"/>
    <col min="14578" max="14578" width="15.375" customWidth="1"/>
    <col min="14580" max="14580" width="12.875" customWidth="1"/>
    <col min="14584" max="14584" width="15.25" customWidth="1"/>
    <col min="14586" max="14586" width="14" customWidth="1"/>
    <col min="14590" max="14590" width="14.625" customWidth="1"/>
    <col min="14592" max="14592" width="12.75" customWidth="1"/>
    <col min="14596" max="14596" width="16.625" customWidth="1"/>
    <col min="14598" max="14598" width="12.375" customWidth="1"/>
    <col min="14600" max="14600" width="13.25" customWidth="1"/>
    <col min="14601" max="14601" width="11.75" customWidth="1"/>
    <col min="14602" max="14602" width="14.125" customWidth="1"/>
    <col min="14831" max="14831" width="13.125" customWidth="1"/>
    <col min="14834" max="14834" width="15.375" customWidth="1"/>
    <col min="14836" max="14836" width="12.875" customWidth="1"/>
    <col min="14840" max="14840" width="15.25" customWidth="1"/>
    <col min="14842" max="14842" width="14" customWidth="1"/>
    <col min="14846" max="14846" width="14.625" customWidth="1"/>
    <col min="14848" max="14848" width="12.75" customWidth="1"/>
    <col min="14852" max="14852" width="16.625" customWidth="1"/>
    <col min="14854" max="14854" width="12.375" customWidth="1"/>
    <col min="14856" max="14856" width="13.25" customWidth="1"/>
    <col min="14857" max="14857" width="11.75" customWidth="1"/>
    <col min="14858" max="14858" width="14.125" customWidth="1"/>
    <col min="15087" max="15087" width="13.125" customWidth="1"/>
    <col min="15090" max="15090" width="15.375" customWidth="1"/>
    <col min="15092" max="15092" width="12.875" customWidth="1"/>
    <col min="15096" max="15096" width="15.25" customWidth="1"/>
    <col min="15098" max="15098" width="14" customWidth="1"/>
    <col min="15102" max="15102" width="14.625" customWidth="1"/>
    <col min="15104" max="15104" width="12.75" customWidth="1"/>
    <col min="15108" max="15108" width="16.625" customWidth="1"/>
    <col min="15110" max="15110" width="12.375" customWidth="1"/>
    <col min="15112" max="15112" width="13.25" customWidth="1"/>
    <col min="15113" max="15113" width="11.75" customWidth="1"/>
    <col min="15114" max="15114" width="14.125" customWidth="1"/>
    <col min="15343" max="15343" width="13.125" customWidth="1"/>
    <col min="15346" max="15346" width="15.375" customWidth="1"/>
    <col min="15348" max="15348" width="12.875" customWidth="1"/>
    <col min="15352" max="15352" width="15.25" customWidth="1"/>
    <col min="15354" max="15354" width="14" customWidth="1"/>
    <col min="15358" max="15358" width="14.625" customWidth="1"/>
    <col min="15360" max="15360" width="12.75" customWidth="1"/>
    <col min="15364" max="15364" width="16.625" customWidth="1"/>
    <col min="15366" max="15366" width="12.375" customWidth="1"/>
    <col min="15368" max="15368" width="13.25" customWidth="1"/>
    <col min="15369" max="15369" width="11.75" customWidth="1"/>
    <col min="15370" max="15370" width="14.125" customWidth="1"/>
    <col min="15599" max="15599" width="13.125" customWidth="1"/>
    <col min="15602" max="15602" width="15.375" customWidth="1"/>
    <col min="15604" max="15604" width="12.875" customWidth="1"/>
    <col min="15608" max="15608" width="15.25" customWidth="1"/>
    <col min="15610" max="15610" width="14" customWidth="1"/>
    <col min="15614" max="15614" width="14.625" customWidth="1"/>
    <col min="15616" max="15616" width="12.75" customWidth="1"/>
    <col min="15620" max="15620" width="16.625" customWidth="1"/>
    <col min="15622" max="15622" width="12.375" customWidth="1"/>
    <col min="15624" max="15624" width="13.25" customWidth="1"/>
    <col min="15625" max="15625" width="11.75" customWidth="1"/>
    <col min="15626" max="15626" width="14.125" customWidth="1"/>
    <col min="15855" max="15855" width="13.125" customWidth="1"/>
    <col min="15858" max="15858" width="15.375" customWidth="1"/>
    <col min="15860" max="15860" width="12.875" customWidth="1"/>
    <col min="15864" max="15864" width="15.25" customWidth="1"/>
    <col min="15866" max="15866" width="14" customWidth="1"/>
    <col min="15870" max="15870" width="14.625" customWidth="1"/>
    <col min="15872" max="15872" width="12.75" customWidth="1"/>
    <col min="15876" max="15876" width="16.625" customWidth="1"/>
    <col min="15878" max="15878" width="12.375" customWidth="1"/>
    <col min="15880" max="15880" width="13.25" customWidth="1"/>
    <col min="15881" max="15881" width="11.75" customWidth="1"/>
    <col min="15882" max="15882" width="14.125" customWidth="1"/>
    <col min="16111" max="16111" width="13.125" customWidth="1"/>
    <col min="16114" max="16114" width="15.375" customWidth="1"/>
    <col min="16116" max="16116" width="12.875" customWidth="1"/>
    <col min="16120" max="16120" width="15.25" customWidth="1"/>
    <col min="16122" max="16122" width="14" customWidth="1"/>
    <col min="16126" max="16126" width="14.625" customWidth="1"/>
    <col min="16128" max="16128" width="12.75" customWidth="1"/>
    <col min="16132" max="16132" width="16.625" customWidth="1"/>
    <col min="16134" max="16134" width="12.375" customWidth="1"/>
    <col min="16136" max="16136" width="13.25" customWidth="1"/>
    <col min="16137" max="16137" width="11.75" customWidth="1"/>
    <col min="16138" max="16138" width="14.125" customWidth="1"/>
  </cols>
  <sheetData>
    <row r="1" spans="1:10">
      <c r="B1" s="53" t="s">
        <v>93</v>
      </c>
      <c r="C1" s="76" t="str">
        <f>CourseList!B10</f>
        <v>ENG-311</v>
      </c>
      <c r="D1" s="76"/>
      <c r="E1" s="76" t="str">
        <f>CourseList!B11</f>
        <v>ENG-315</v>
      </c>
      <c r="F1" s="76"/>
      <c r="G1" s="76" t="str">
        <f>CourseList!B12</f>
        <v>ENG-313</v>
      </c>
      <c r="H1" s="76"/>
      <c r="I1" s="76" t="str">
        <f>CourseList!B13</f>
        <v>ENG-300</v>
      </c>
      <c r="J1" s="76"/>
    </row>
    <row r="2" spans="1:10">
      <c r="B2" s="53" t="s">
        <v>96</v>
      </c>
      <c r="C2" s="76">
        <f>CourseList!E10</f>
        <v>3</v>
      </c>
      <c r="D2" s="76"/>
      <c r="E2" s="76">
        <f>CourseList!E11</f>
        <v>2</v>
      </c>
      <c r="F2" s="76"/>
      <c r="G2" s="76">
        <f>CourseList!E12</f>
        <v>2</v>
      </c>
      <c r="H2" s="76"/>
      <c r="I2" s="76">
        <f>CourseList!E13</f>
        <v>4</v>
      </c>
      <c r="J2" s="76"/>
    </row>
    <row r="3" spans="1:10" ht="14.25">
      <c r="A3" s="50" t="s">
        <v>121</v>
      </c>
      <c r="B3" s="52" t="str" cm="1">
        <f t="array" ref="B3:B33">StudentList!B1:B31</f>
        <v>Student ID</v>
      </c>
      <c r="C3" s="50" t="s">
        <v>100</v>
      </c>
      <c r="D3" s="50" t="s">
        <v>105</v>
      </c>
      <c r="E3" s="50" t="s">
        <v>100</v>
      </c>
      <c r="F3" s="50" t="s">
        <v>105</v>
      </c>
      <c r="G3" s="50" t="s">
        <v>100</v>
      </c>
      <c r="H3" s="50" t="s">
        <v>105</v>
      </c>
      <c r="I3" s="50" t="s">
        <v>100</v>
      </c>
      <c r="J3" s="50" t="s">
        <v>105</v>
      </c>
    </row>
    <row r="4" spans="1:10">
      <c r="A4" s="51">
        <v>1</v>
      </c>
      <c r="B4" s="51">
        <v>2011236001</v>
      </c>
      <c r="C4" s="51" t="str">
        <f>'3rd Semester'!H3</f>
        <v>A+</v>
      </c>
      <c r="D4" s="51">
        <f>'3rd Semester'!I3</f>
        <v>4</v>
      </c>
      <c r="E4" s="51" t="str">
        <f>'3rd Semester'!P3</f>
        <v>A+</v>
      </c>
      <c r="F4" s="51">
        <f>'3rd Semester'!Q3</f>
        <v>4</v>
      </c>
      <c r="G4" s="51" t="str">
        <f>'3rd Semester'!X3</f>
        <v>A+</v>
      </c>
      <c r="H4" s="51">
        <f>'3rd Semester'!Y3</f>
        <v>4</v>
      </c>
      <c r="I4" s="51" t="str">
        <f>'3rd Semester'!AF3</f>
        <v>A+</v>
      </c>
      <c r="J4" s="51">
        <f>'3rd Semester'!AG3</f>
        <v>4</v>
      </c>
    </row>
    <row r="5" spans="1:10">
      <c r="A5" s="51">
        <v>2</v>
      </c>
      <c r="B5" s="51">
        <v>2011236002</v>
      </c>
      <c r="C5" s="51" t="str">
        <f>'3rd Semester'!H4</f>
        <v>A-</v>
      </c>
      <c r="D5" s="51">
        <f>'3rd Semester'!I4</f>
        <v>3.5</v>
      </c>
      <c r="E5" s="51" t="str">
        <f>'3rd Semester'!P4</f>
        <v>B</v>
      </c>
      <c r="F5" s="51">
        <f>'3rd Semester'!Q4</f>
        <v>3</v>
      </c>
      <c r="G5" s="51" t="str">
        <f>'3rd Semester'!X4</f>
        <v>A</v>
      </c>
      <c r="H5" s="51">
        <f>'3rd Semester'!Y4</f>
        <v>3.75</v>
      </c>
      <c r="I5" s="51" t="str">
        <f>'3rd Semester'!AF4</f>
        <v>A+</v>
      </c>
      <c r="J5" s="51">
        <f>'3rd Semester'!AG4</f>
        <v>4</v>
      </c>
    </row>
    <row r="6" spans="1:10">
      <c r="A6" s="51">
        <v>3</v>
      </c>
      <c r="B6" s="51">
        <v>2011236003</v>
      </c>
      <c r="C6" s="51" t="str">
        <f>'3rd Semester'!H5</f>
        <v>A</v>
      </c>
      <c r="D6" s="51">
        <f>'3rd Semester'!I5</f>
        <v>3.75</v>
      </c>
      <c r="E6" s="51" t="str">
        <f>'3rd Semester'!P5</f>
        <v>A+</v>
      </c>
      <c r="F6" s="51">
        <f>'3rd Semester'!Q5</f>
        <v>4</v>
      </c>
      <c r="G6" s="51" t="str">
        <f>'3rd Semester'!X5</f>
        <v>A+</v>
      </c>
      <c r="H6" s="51">
        <f>'3rd Semester'!Y5</f>
        <v>4</v>
      </c>
      <c r="I6" s="51" t="str">
        <f>'3rd Semester'!AF5</f>
        <v>A+</v>
      </c>
      <c r="J6" s="51">
        <f>'3rd Semester'!AG5</f>
        <v>4</v>
      </c>
    </row>
    <row r="7" spans="1:10">
      <c r="A7" s="51">
        <v>4</v>
      </c>
      <c r="B7" s="51">
        <v>2011236004</v>
      </c>
      <c r="C7" s="51" t="str">
        <f>'3rd Semester'!H6</f>
        <v>A</v>
      </c>
      <c r="D7" s="51">
        <f>'3rd Semester'!I6</f>
        <v>3.75</v>
      </c>
      <c r="E7" s="51" t="str">
        <f>'3rd Semester'!P6</f>
        <v>A+</v>
      </c>
      <c r="F7" s="51">
        <f>'3rd Semester'!Q6</f>
        <v>4</v>
      </c>
      <c r="G7" s="51" t="str">
        <f>'3rd Semester'!X6</f>
        <v>A-</v>
      </c>
      <c r="H7" s="51">
        <f>'3rd Semester'!Y6</f>
        <v>3.5</v>
      </c>
      <c r="I7" s="51" t="str">
        <f>'3rd Semester'!AF6</f>
        <v>A+</v>
      </c>
      <c r="J7" s="51">
        <f>'3rd Semester'!AG6</f>
        <v>4</v>
      </c>
    </row>
    <row r="8" spans="1:10">
      <c r="A8" s="51">
        <v>5</v>
      </c>
      <c r="B8" s="51">
        <v>2011236005</v>
      </c>
      <c r="C8" s="51" t="str">
        <f>'3rd Semester'!H7</f>
        <v>A+</v>
      </c>
      <c r="D8" s="51">
        <f>'3rd Semester'!I7</f>
        <v>4</v>
      </c>
      <c r="E8" s="51" t="str">
        <f>'3rd Semester'!P7</f>
        <v>B+</v>
      </c>
      <c r="F8" s="51">
        <f>'3rd Semester'!Q7</f>
        <v>3.25</v>
      </c>
      <c r="G8" s="51" t="str">
        <f>'3rd Semester'!X7</f>
        <v>A-</v>
      </c>
      <c r="H8" s="51">
        <f>'3rd Semester'!Y7</f>
        <v>3.5</v>
      </c>
      <c r="I8" s="51" t="str">
        <f>'3rd Semester'!AF7</f>
        <v>B+</v>
      </c>
      <c r="J8" s="51">
        <f>'3rd Semester'!AG7</f>
        <v>3.25</v>
      </c>
    </row>
    <row r="9" spans="1:10">
      <c r="A9" s="51">
        <v>6</v>
      </c>
      <c r="B9" s="51">
        <v>2011236006</v>
      </c>
      <c r="C9" s="51" t="str">
        <f>'3rd Semester'!H8</f>
        <v>A+</v>
      </c>
      <c r="D9" s="51">
        <f>'3rd Semester'!I8</f>
        <v>4</v>
      </c>
      <c r="E9" s="51" t="str">
        <f>'3rd Semester'!P8</f>
        <v>A</v>
      </c>
      <c r="F9" s="51">
        <f>'3rd Semester'!Q8</f>
        <v>3.75</v>
      </c>
      <c r="G9" s="51" t="str">
        <f>'3rd Semester'!X8</f>
        <v>A+</v>
      </c>
      <c r="H9" s="51">
        <f>'3rd Semester'!Y8</f>
        <v>4</v>
      </c>
      <c r="I9" s="51" t="str">
        <f>'3rd Semester'!AF8</f>
        <v>A+</v>
      </c>
      <c r="J9" s="51">
        <f>'3rd Semester'!AG8</f>
        <v>4</v>
      </c>
    </row>
    <row r="10" spans="1:10">
      <c r="A10" s="51">
        <v>7</v>
      </c>
      <c r="B10" s="51">
        <v>2011236007</v>
      </c>
      <c r="C10" s="51" t="str">
        <f>'3rd Semester'!H9</f>
        <v>A+</v>
      </c>
      <c r="D10" s="51">
        <f>'3rd Semester'!I9</f>
        <v>4</v>
      </c>
      <c r="E10" s="51" t="str">
        <f>'3rd Semester'!P9</f>
        <v>A-</v>
      </c>
      <c r="F10" s="51">
        <f>'3rd Semester'!Q9</f>
        <v>3.5</v>
      </c>
      <c r="G10" s="51" t="str">
        <f>'3rd Semester'!X9</f>
        <v>A-</v>
      </c>
      <c r="H10" s="51">
        <f>'3rd Semester'!Y9</f>
        <v>3.5</v>
      </c>
      <c r="I10" s="51" t="str">
        <f>'3rd Semester'!AF9</f>
        <v>B</v>
      </c>
      <c r="J10" s="51">
        <f>'3rd Semester'!AG9</f>
        <v>3</v>
      </c>
    </row>
    <row r="11" spans="1:10">
      <c r="A11" s="51">
        <v>8</v>
      </c>
      <c r="B11" s="51">
        <v>2011236008</v>
      </c>
      <c r="C11" s="51" t="str">
        <f>'3rd Semester'!H10</f>
        <v>A+</v>
      </c>
      <c r="D11" s="51">
        <f>'3rd Semester'!I10</f>
        <v>4</v>
      </c>
      <c r="E11" s="51" t="str">
        <f>'3rd Semester'!P10</f>
        <v>B+</v>
      </c>
      <c r="F11" s="51">
        <f>'3rd Semester'!Q10</f>
        <v>3.25</v>
      </c>
      <c r="G11" s="51" t="str">
        <f>'3rd Semester'!X10</f>
        <v>A+</v>
      </c>
      <c r="H11" s="51">
        <f>'3rd Semester'!Y10</f>
        <v>4</v>
      </c>
      <c r="I11" s="51" t="str">
        <f>'3rd Semester'!AF10</f>
        <v>A+</v>
      </c>
      <c r="J11" s="51">
        <f>'3rd Semester'!AG10</f>
        <v>4</v>
      </c>
    </row>
    <row r="12" spans="1:10">
      <c r="A12" s="51">
        <v>9</v>
      </c>
      <c r="B12" s="51">
        <v>2011236009</v>
      </c>
      <c r="C12" s="51" t="str">
        <f>'3rd Semester'!H11</f>
        <v>A-</v>
      </c>
      <c r="D12" s="51">
        <f>'3rd Semester'!I11</f>
        <v>3.5</v>
      </c>
      <c r="E12" s="51" t="str">
        <f>'3rd Semester'!P11</f>
        <v>B+</v>
      </c>
      <c r="F12" s="51">
        <f>'3rd Semester'!Q11</f>
        <v>3.25</v>
      </c>
      <c r="G12" s="51" t="str">
        <f>'3rd Semester'!X11</f>
        <v>A</v>
      </c>
      <c r="H12" s="51">
        <f>'3rd Semester'!Y11</f>
        <v>3.75</v>
      </c>
      <c r="I12" s="51" t="str">
        <f>'3rd Semester'!AF11</f>
        <v>A+</v>
      </c>
      <c r="J12" s="51">
        <f>'3rd Semester'!AG11</f>
        <v>4</v>
      </c>
    </row>
    <row r="13" spans="1:10">
      <c r="A13" s="51">
        <v>10</v>
      </c>
      <c r="B13" s="51">
        <v>2011236010</v>
      </c>
      <c r="C13" s="51" t="str">
        <f>'3rd Semester'!H12</f>
        <v>A+</v>
      </c>
      <c r="D13" s="51">
        <f>'3rd Semester'!I12</f>
        <v>4</v>
      </c>
      <c r="E13" s="51" t="str">
        <f>'3rd Semester'!P12</f>
        <v>B-</v>
      </c>
      <c r="F13" s="51">
        <f>'3rd Semester'!Q12</f>
        <v>2.75</v>
      </c>
      <c r="G13" s="51" t="str">
        <f>'3rd Semester'!X12</f>
        <v>B+</v>
      </c>
      <c r="H13" s="51">
        <f>'3rd Semester'!Y12</f>
        <v>3.25</v>
      </c>
      <c r="I13" s="51" t="str">
        <f>'3rd Semester'!AF12</f>
        <v>B</v>
      </c>
      <c r="J13" s="51">
        <f>'3rd Semester'!AG12</f>
        <v>3</v>
      </c>
    </row>
    <row r="14" spans="1:10">
      <c r="A14" s="51">
        <v>11</v>
      </c>
      <c r="B14" s="51">
        <v>2011236011</v>
      </c>
      <c r="C14" s="51" t="str">
        <f>'3rd Semester'!H13</f>
        <v>A+</v>
      </c>
      <c r="D14" s="51">
        <f>'3rd Semester'!I13</f>
        <v>4</v>
      </c>
      <c r="E14" s="51" t="str">
        <f>'3rd Semester'!P13</f>
        <v>A</v>
      </c>
      <c r="F14" s="51">
        <f>'3rd Semester'!Q13</f>
        <v>3.75</v>
      </c>
      <c r="G14" s="51" t="str">
        <f>'3rd Semester'!X13</f>
        <v>A-</v>
      </c>
      <c r="H14" s="51">
        <f>'3rd Semester'!Y13</f>
        <v>3.5</v>
      </c>
      <c r="I14" s="51" t="str">
        <f>'3rd Semester'!AF13</f>
        <v>A</v>
      </c>
      <c r="J14" s="51">
        <f>'3rd Semester'!AG13</f>
        <v>3.75</v>
      </c>
    </row>
    <row r="15" spans="1:10">
      <c r="A15" s="51">
        <v>12</v>
      </c>
      <c r="B15" s="51">
        <v>2011236012</v>
      </c>
      <c r="C15" s="51" t="str">
        <f>'3rd Semester'!H14</f>
        <v>A+</v>
      </c>
      <c r="D15" s="51">
        <f>'3rd Semester'!I14</f>
        <v>4</v>
      </c>
      <c r="E15" s="51" t="str">
        <f>'3rd Semester'!P14</f>
        <v>A+</v>
      </c>
      <c r="F15" s="51">
        <f>'3rd Semester'!Q14</f>
        <v>4</v>
      </c>
      <c r="G15" s="51" t="str">
        <f>'3rd Semester'!X14</f>
        <v>A+</v>
      </c>
      <c r="H15" s="51">
        <f>'3rd Semester'!Y14</f>
        <v>4</v>
      </c>
      <c r="I15" s="51" t="str">
        <f>'3rd Semester'!AF14</f>
        <v>A+</v>
      </c>
      <c r="J15" s="51">
        <f>'3rd Semester'!AG14</f>
        <v>4</v>
      </c>
    </row>
    <row r="16" spans="1:10">
      <c r="A16" s="51">
        <v>13</v>
      </c>
      <c r="B16" s="51">
        <v>2011236013</v>
      </c>
      <c r="C16" s="51" t="str">
        <f>'3rd Semester'!H15</f>
        <v>A+</v>
      </c>
      <c r="D16" s="51">
        <f>'3rd Semester'!I15</f>
        <v>4</v>
      </c>
      <c r="E16" s="51" t="str">
        <f>'3rd Semester'!P15</f>
        <v>A+</v>
      </c>
      <c r="F16" s="51">
        <f>'3rd Semester'!Q15</f>
        <v>4</v>
      </c>
      <c r="G16" s="51" t="str">
        <f>'3rd Semester'!X15</f>
        <v>B+</v>
      </c>
      <c r="H16" s="51">
        <f>'3rd Semester'!Y15</f>
        <v>3.25</v>
      </c>
      <c r="I16" s="51" t="str">
        <f>'3rd Semester'!AF15</f>
        <v>A</v>
      </c>
      <c r="J16" s="51">
        <f>'3rd Semester'!AG15</f>
        <v>3.75</v>
      </c>
    </row>
    <row r="17" spans="1:10">
      <c r="A17" s="51">
        <v>14</v>
      </c>
      <c r="B17" s="51">
        <v>2011236014</v>
      </c>
      <c r="C17" s="51" t="str">
        <f>'3rd Semester'!H16</f>
        <v>A-</v>
      </c>
      <c r="D17" s="51">
        <f>'3rd Semester'!I16</f>
        <v>3.5</v>
      </c>
      <c r="E17" s="51" t="str">
        <f>'3rd Semester'!P16</f>
        <v>A+</v>
      </c>
      <c r="F17" s="51">
        <f>'3rd Semester'!Q16</f>
        <v>4</v>
      </c>
      <c r="G17" s="51" t="str">
        <f>'3rd Semester'!X16</f>
        <v>B+</v>
      </c>
      <c r="H17" s="51">
        <f>'3rd Semester'!Y16</f>
        <v>3.25</v>
      </c>
      <c r="I17" s="51" t="str">
        <f>'3rd Semester'!AF16</f>
        <v>B+</v>
      </c>
      <c r="J17" s="51">
        <f>'3rd Semester'!AG16</f>
        <v>3.25</v>
      </c>
    </row>
    <row r="18" spans="1:10">
      <c r="A18" s="51">
        <v>15</v>
      </c>
      <c r="B18" s="51">
        <v>2011236015</v>
      </c>
      <c r="C18" s="51" t="str">
        <f>'3rd Semester'!H17</f>
        <v>A-</v>
      </c>
      <c r="D18" s="51">
        <f>'3rd Semester'!I17</f>
        <v>3.5</v>
      </c>
      <c r="E18" s="51" t="str">
        <f>'3rd Semester'!P17</f>
        <v>A+</v>
      </c>
      <c r="F18" s="51">
        <f>'3rd Semester'!Q17</f>
        <v>4</v>
      </c>
      <c r="G18" s="51" t="str">
        <f>'3rd Semester'!X17</f>
        <v>A+</v>
      </c>
      <c r="H18" s="51">
        <f>'3rd Semester'!Y17</f>
        <v>4</v>
      </c>
      <c r="I18" s="51" t="str">
        <f>'3rd Semester'!AF17</f>
        <v>B</v>
      </c>
      <c r="J18" s="51">
        <f>'3rd Semester'!AG17</f>
        <v>3</v>
      </c>
    </row>
    <row r="19" spans="1:10">
      <c r="A19" s="51">
        <v>16</v>
      </c>
      <c r="B19" s="51">
        <v>2011236016</v>
      </c>
      <c r="C19" s="51" t="str">
        <f>'3rd Semester'!H18</f>
        <v>A</v>
      </c>
      <c r="D19" s="51">
        <f>'3rd Semester'!I18</f>
        <v>3.75</v>
      </c>
      <c r="E19" s="51" t="str">
        <f>'3rd Semester'!P18</f>
        <v>A-</v>
      </c>
      <c r="F19" s="51">
        <f>'3rd Semester'!Q18</f>
        <v>3.5</v>
      </c>
      <c r="G19" s="51" t="str">
        <f>'3rd Semester'!X18</f>
        <v>B+</v>
      </c>
      <c r="H19" s="51">
        <f>'3rd Semester'!Y18</f>
        <v>3.25</v>
      </c>
      <c r="I19" s="51" t="str">
        <f>'3rd Semester'!AF18</f>
        <v>A+</v>
      </c>
      <c r="J19" s="51">
        <f>'3rd Semester'!AG18</f>
        <v>4</v>
      </c>
    </row>
    <row r="20" spans="1:10">
      <c r="A20" s="51">
        <v>17</v>
      </c>
      <c r="B20" s="51">
        <v>2011236017</v>
      </c>
      <c r="C20" s="51" t="str">
        <f>'3rd Semester'!H19</f>
        <v>A+</v>
      </c>
      <c r="D20" s="51">
        <f>'3rd Semester'!I19</f>
        <v>4</v>
      </c>
      <c r="E20" s="51" t="str">
        <f>'3rd Semester'!P19</f>
        <v>A+</v>
      </c>
      <c r="F20" s="51">
        <f>'3rd Semester'!Q19</f>
        <v>4</v>
      </c>
      <c r="G20" s="51" t="str">
        <f>'3rd Semester'!X19</f>
        <v>A+</v>
      </c>
      <c r="H20" s="51">
        <f>'3rd Semester'!Y19</f>
        <v>4</v>
      </c>
      <c r="I20" s="51" t="str">
        <f>'3rd Semester'!AF19</f>
        <v>A</v>
      </c>
      <c r="J20" s="51">
        <f>'3rd Semester'!AG19</f>
        <v>3.75</v>
      </c>
    </row>
    <row r="21" spans="1:10">
      <c r="A21" s="51">
        <v>18</v>
      </c>
      <c r="B21" s="51">
        <v>2011236018</v>
      </c>
      <c r="C21" s="51" t="str">
        <f>'3rd Semester'!H20</f>
        <v>A</v>
      </c>
      <c r="D21" s="51">
        <f>'3rd Semester'!I20</f>
        <v>3.75</v>
      </c>
      <c r="E21" s="51" t="str">
        <f>'3rd Semester'!P20</f>
        <v>B+</v>
      </c>
      <c r="F21" s="51">
        <f>'3rd Semester'!Q20</f>
        <v>3.25</v>
      </c>
      <c r="G21" s="51" t="str">
        <f>'3rd Semester'!X20</f>
        <v>A-</v>
      </c>
      <c r="H21" s="51">
        <f>'3rd Semester'!Y20</f>
        <v>3.5</v>
      </c>
      <c r="I21" s="51" t="str">
        <f>'3rd Semester'!AF20</f>
        <v>A</v>
      </c>
      <c r="J21" s="51">
        <f>'3rd Semester'!AG20</f>
        <v>3.75</v>
      </c>
    </row>
    <row r="22" spans="1:10">
      <c r="A22" s="51">
        <v>19</v>
      </c>
      <c r="B22" s="51">
        <v>2011236019</v>
      </c>
      <c r="C22" s="51" t="str">
        <f>'3rd Semester'!H21</f>
        <v>A+</v>
      </c>
      <c r="D22" s="51">
        <f>'3rd Semester'!I21</f>
        <v>4</v>
      </c>
      <c r="E22" s="51" t="str">
        <f>'3rd Semester'!P21</f>
        <v>A-</v>
      </c>
      <c r="F22" s="51">
        <f>'3rd Semester'!Q21</f>
        <v>3.5</v>
      </c>
      <c r="G22" s="51" t="str">
        <f>'3rd Semester'!X21</f>
        <v>A+</v>
      </c>
      <c r="H22" s="51">
        <f>'3rd Semester'!Y21</f>
        <v>4</v>
      </c>
      <c r="I22" s="51" t="str">
        <f>'3rd Semester'!AF21</f>
        <v>A</v>
      </c>
      <c r="J22" s="51">
        <f>'3rd Semester'!AG21</f>
        <v>3.75</v>
      </c>
    </row>
    <row r="23" spans="1:10">
      <c r="A23" s="51">
        <v>20</v>
      </c>
      <c r="B23" s="51">
        <v>2011236020</v>
      </c>
      <c r="C23" s="51" t="str">
        <f>'3rd Semester'!H22</f>
        <v>A+</v>
      </c>
      <c r="D23" s="51">
        <f>'3rd Semester'!I22</f>
        <v>4</v>
      </c>
      <c r="E23" s="51" t="str">
        <f>'3rd Semester'!P22</f>
        <v>A+</v>
      </c>
      <c r="F23" s="51">
        <f>'3rd Semester'!Q22</f>
        <v>4</v>
      </c>
      <c r="G23" s="51" t="str">
        <f>'3rd Semester'!X22</f>
        <v>A+</v>
      </c>
      <c r="H23" s="51">
        <f>'3rd Semester'!Y22</f>
        <v>4</v>
      </c>
      <c r="I23" s="51" t="str">
        <f>'3rd Semester'!AF22</f>
        <v>A-</v>
      </c>
      <c r="J23" s="51">
        <f>'3rd Semester'!AG22</f>
        <v>3.5</v>
      </c>
    </row>
    <row r="24" spans="1:10">
      <c r="A24" s="51">
        <v>21</v>
      </c>
      <c r="B24" s="51">
        <v>2011236021</v>
      </c>
      <c r="C24" s="51" t="str">
        <f>'3rd Semester'!H23</f>
        <v>A-</v>
      </c>
      <c r="D24" s="51">
        <f>'3rd Semester'!I23</f>
        <v>3.5</v>
      </c>
      <c r="E24" s="51" t="str">
        <f>'3rd Semester'!P23</f>
        <v>A-</v>
      </c>
      <c r="F24" s="51">
        <f>'3rd Semester'!Q23</f>
        <v>3.5</v>
      </c>
      <c r="G24" s="51" t="str">
        <f>'3rd Semester'!X23</f>
        <v>A+</v>
      </c>
      <c r="H24" s="51">
        <f>'3rd Semester'!Y23</f>
        <v>4</v>
      </c>
      <c r="I24" s="51" t="str">
        <f>'3rd Semester'!AF23</f>
        <v>A-</v>
      </c>
      <c r="J24" s="51">
        <f>'3rd Semester'!AG23</f>
        <v>3.5</v>
      </c>
    </row>
    <row r="25" spans="1:10">
      <c r="A25" s="51">
        <v>22</v>
      </c>
      <c r="B25" s="51">
        <v>2011236022</v>
      </c>
      <c r="C25" s="51" t="str">
        <f>'3rd Semester'!H24</f>
        <v>A+</v>
      </c>
      <c r="D25" s="51">
        <f>'3rd Semester'!I24</f>
        <v>4</v>
      </c>
      <c r="E25" s="51" t="str">
        <f>'3rd Semester'!P24</f>
        <v>B-</v>
      </c>
      <c r="F25" s="51">
        <f>'3rd Semester'!Q24</f>
        <v>2.75</v>
      </c>
      <c r="G25" s="51" t="str">
        <f>'3rd Semester'!X24</f>
        <v>A</v>
      </c>
      <c r="H25" s="51">
        <f>'3rd Semester'!Y24</f>
        <v>3.75</v>
      </c>
      <c r="I25" s="51" t="str">
        <f>'3rd Semester'!AF24</f>
        <v>A</v>
      </c>
      <c r="J25" s="51">
        <f>'3rd Semester'!AG24</f>
        <v>3.75</v>
      </c>
    </row>
    <row r="26" spans="1:10">
      <c r="A26" s="51">
        <v>23</v>
      </c>
      <c r="B26" s="51">
        <v>2011236023</v>
      </c>
      <c r="C26" s="51" t="str">
        <f>'3rd Semester'!H25</f>
        <v>B+</v>
      </c>
      <c r="D26" s="51">
        <f>'3rd Semester'!I25</f>
        <v>3.25</v>
      </c>
      <c r="E26" s="51" t="str">
        <f>'3rd Semester'!P25</f>
        <v>B</v>
      </c>
      <c r="F26" s="51">
        <f>'3rd Semester'!Q25</f>
        <v>3</v>
      </c>
      <c r="G26" s="51" t="str">
        <f>'3rd Semester'!X25</f>
        <v>A+</v>
      </c>
      <c r="H26" s="51">
        <f>'3rd Semester'!Y25</f>
        <v>4</v>
      </c>
      <c r="I26" s="51" t="str">
        <f>'3rd Semester'!AF25</f>
        <v>B+</v>
      </c>
      <c r="J26" s="51">
        <f>'3rd Semester'!AG25</f>
        <v>3.25</v>
      </c>
    </row>
    <row r="27" spans="1:10">
      <c r="A27" s="51">
        <v>24</v>
      </c>
      <c r="B27" s="51">
        <v>2011236024</v>
      </c>
      <c r="C27" s="51" t="str">
        <f>'3rd Semester'!H26</f>
        <v>A+</v>
      </c>
      <c r="D27" s="51">
        <f>'3rd Semester'!I26</f>
        <v>4</v>
      </c>
      <c r="E27" s="51" t="str">
        <f>'3rd Semester'!P26</f>
        <v>A+</v>
      </c>
      <c r="F27" s="51">
        <f>'3rd Semester'!Q26</f>
        <v>4</v>
      </c>
      <c r="G27" s="51" t="str">
        <f>'3rd Semester'!X26</f>
        <v>A+</v>
      </c>
      <c r="H27" s="51">
        <f>'3rd Semester'!Y26</f>
        <v>4</v>
      </c>
      <c r="I27" s="51" t="str">
        <f>'3rd Semester'!AF26</f>
        <v>A-</v>
      </c>
      <c r="J27" s="51">
        <f>'3rd Semester'!AG26</f>
        <v>3.5</v>
      </c>
    </row>
    <row r="28" spans="1:10">
      <c r="A28" s="51">
        <v>25</v>
      </c>
      <c r="B28" s="51">
        <v>2011236025</v>
      </c>
      <c r="C28" s="51" t="str">
        <f>'3rd Semester'!H27</f>
        <v>B</v>
      </c>
      <c r="D28" s="51">
        <f>'3rd Semester'!I27</f>
        <v>3</v>
      </c>
      <c r="E28" s="51" t="str">
        <f>'3rd Semester'!P27</f>
        <v>A+</v>
      </c>
      <c r="F28" s="51">
        <f>'3rd Semester'!Q27</f>
        <v>4</v>
      </c>
      <c r="G28" s="51" t="str">
        <f>'3rd Semester'!X27</f>
        <v>A+</v>
      </c>
      <c r="H28" s="51">
        <f>'3rd Semester'!Y27</f>
        <v>4</v>
      </c>
      <c r="I28" s="51" t="str">
        <f>'3rd Semester'!AF27</f>
        <v>A+</v>
      </c>
      <c r="J28" s="51">
        <f>'3rd Semester'!AG27</f>
        <v>4</v>
      </c>
    </row>
    <row r="29" spans="1:10">
      <c r="A29" s="51">
        <v>26</v>
      </c>
      <c r="B29" s="51">
        <v>2011236026</v>
      </c>
      <c r="C29" s="51" t="str">
        <f>'3rd Semester'!H28</f>
        <v>A</v>
      </c>
      <c r="D29" s="51">
        <f>'3rd Semester'!I28</f>
        <v>3.75</v>
      </c>
      <c r="E29" s="51" t="str">
        <f>'3rd Semester'!P28</f>
        <v>A+</v>
      </c>
      <c r="F29" s="51">
        <f>'3rd Semester'!Q28</f>
        <v>4</v>
      </c>
      <c r="G29" s="51" t="str">
        <f>'3rd Semester'!X28</f>
        <v>A+</v>
      </c>
      <c r="H29" s="51">
        <f>'3rd Semester'!Y28</f>
        <v>4</v>
      </c>
      <c r="I29" s="51" t="str">
        <f>'3rd Semester'!AF28</f>
        <v>A</v>
      </c>
      <c r="J29" s="51">
        <f>'3rd Semester'!AG28</f>
        <v>3.75</v>
      </c>
    </row>
    <row r="30" spans="1:10">
      <c r="A30" s="51">
        <v>27</v>
      </c>
      <c r="B30" s="51">
        <v>2011236027</v>
      </c>
      <c r="C30" s="51" t="str">
        <f>'3rd Semester'!H29</f>
        <v>A+</v>
      </c>
      <c r="D30" s="51">
        <f>'3rd Semester'!I29</f>
        <v>4</v>
      </c>
      <c r="E30" s="51" t="str">
        <f>'3rd Semester'!P29</f>
        <v>A</v>
      </c>
      <c r="F30" s="51">
        <f>'3rd Semester'!Q29</f>
        <v>3.75</v>
      </c>
      <c r="G30" s="51" t="str">
        <f>'3rd Semester'!X29</f>
        <v>A-</v>
      </c>
      <c r="H30" s="51">
        <f>'3rd Semester'!Y29</f>
        <v>3.5</v>
      </c>
      <c r="I30" s="51" t="str">
        <f>'3rd Semester'!AF29</f>
        <v>A+</v>
      </c>
      <c r="J30" s="51">
        <f>'3rd Semester'!AG29</f>
        <v>4</v>
      </c>
    </row>
    <row r="31" spans="1:10">
      <c r="A31" s="51">
        <v>28</v>
      </c>
      <c r="B31" s="51">
        <v>2011236028</v>
      </c>
      <c r="C31" s="51" t="str">
        <f>'3rd Semester'!H30</f>
        <v>A</v>
      </c>
      <c r="D31" s="51">
        <f>'3rd Semester'!I30</f>
        <v>3.75</v>
      </c>
      <c r="E31" s="51" t="str">
        <f>'3rd Semester'!P30</f>
        <v>B+</v>
      </c>
      <c r="F31" s="51">
        <f>'3rd Semester'!Q30</f>
        <v>3.25</v>
      </c>
      <c r="G31" s="51" t="str">
        <f>'3rd Semester'!X30</f>
        <v>A+</v>
      </c>
      <c r="H31" s="51">
        <f>'3rd Semester'!Y30</f>
        <v>4</v>
      </c>
      <c r="I31" s="51" t="str">
        <f>'3rd Semester'!AF30</f>
        <v>A+</v>
      </c>
      <c r="J31" s="51">
        <f>'3rd Semester'!AG30</f>
        <v>4</v>
      </c>
    </row>
    <row r="32" spans="1:10">
      <c r="A32" s="51">
        <v>29</v>
      </c>
      <c r="B32" s="51">
        <v>2011236029</v>
      </c>
      <c r="C32" s="51" t="str">
        <f>'3rd Semester'!H31</f>
        <v>A</v>
      </c>
      <c r="D32" s="51">
        <f>'3rd Semester'!I31</f>
        <v>3.75</v>
      </c>
      <c r="E32" s="51" t="str">
        <f>'3rd Semester'!P31</f>
        <v>A+</v>
      </c>
      <c r="F32" s="51">
        <f>'3rd Semester'!Q31</f>
        <v>4</v>
      </c>
      <c r="G32" s="51" t="str">
        <f>'3rd Semester'!X31</f>
        <v>B+</v>
      </c>
      <c r="H32" s="51">
        <f>'3rd Semester'!Y31</f>
        <v>3.25</v>
      </c>
      <c r="I32" s="51" t="str">
        <f>'3rd Semester'!AF31</f>
        <v>A+</v>
      </c>
      <c r="J32" s="51">
        <f>'3rd Semester'!AG31</f>
        <v>4</v>
      </c>
    </row>
    <row r="33" spans="1:10">
      <c r="A33" s="51">
        <v>30</v>
      </c>
      <c r="B33" s="51">
        <v>2011236030</v>
      </c>
      <c r="C33" s="51" t="str">
        <f>'3rd Semester'!H32</f>
        <v>A</v>
      </c>
      <c r="D33" s="51">
        <f>'3rd Semester'!I32</f>
        <v>3.75</v>
      </c>
      <c r="E33" s="51" t="str">
        <f>'3rd Semester'!P32</f>
        <v>A+</v>
      </c>
      <c r="F33" s="51">
        <f>'3rd Semester'!Q32</f>
        <v>4</v>
      </c>
      <c r="G33" s="51" t="str">
        <f>'3rd Semester'!X32</f>
        <v>B+</v>
      </c>
      <c r="H33" s="51">
        <f>'3rd Semester'!Y32</f>
        <v>3.25</v>
      </c>
      <c r="I33" s="51" t="str">
        <f>'3rd Semester'!AF32</f>
        <v>A-</v>
      </c>
      <c r="J33" s="51">
        <f>'3rd Semester'!AG32</f>
        <v>3.5</v>
      </c>
    </row>
    <row r="34" spans="1:10">
      <c r="C34" s="51"/>
      <c r="D34" s="51"/>
    </row>
  </sheetData>
  <mergeCells count="8">
    <mergeCell ref="C1:D1"/>
    <mergeCell ref="E1:F1"/>
    <mergeCell ref="G1:H1"/>
    <mergeCell ref="I1:J1"/>
    <mergeCell ref="C2:D2"/>
    <mergeCell ref="E2:F2"/>
    <mergeCell ref="G2:H2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CGPA Tabulation Sheet</vt:lpstr>
      <vt:lpstr>StudentList</vt:lpstr>
      <vt:lpstr>CourseList</vt:lpstr>
      <vt:lpstr>CourseTeacher</vt:lpstr>
      <vt:lpstr>1st Semester</vt:lpstr>
      <vt:lpstr>2nd Semester</vt:lpstr>
      <vt:lpstr>3rd Semester</vt:lpstr>
      <vt:lpstr>Tabulation 1</vt:lpstr>
      <vt:lpstr>Tabulation 2</vt:lpstr>
      <vt:lpstr>Tabulation 3</vt:lpstr>
      <vt:lpstr>CourseTeacher!Print_Area</vt:lpstr>
      <vt:lpstr>StudentList!Print_Area</vt:lpstr>
      <vt:lpstr>CourseList!temp</vt:lpstr>
      <vt:lpstr>CourseTeacher!temp_1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Sazal Ashraf Khan</dc:creator>
  <cp:lastModifiedBy>LAB-203</cp:lastModifiedBy>
  <dcterms:created xsi:type="dcterms:W3CDTF">2024-12-06T13:08:33Z</dcterms:created>
  <dcterms:modified xsi:type="dcterms:W3CDTF">2024-12-08T08:49:23Z</dcterms:modified>
</cp:coreProperties>
</file>